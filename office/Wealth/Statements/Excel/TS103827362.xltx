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png" ContentType="image/jpeg"/>
  <Override PartName="/xl/workbook.xml" ContentType="application/vnd.openxmlformats-officedocument.spreadsheetml.template.main+xml"/>
  <Override PartName="/xl/styles.xml" ContentType="application/vnd.openxmlformats-officedocument.spreadsheetml.styles+xml"/>
  <Override PartName="/xl/worksheets/sheet2.xml" ContentType="application/vnd.openxmlformats-officedocument.spreadsheetml.worksheet+xml"/>
  <Override PartName="/xl/theme/theme1.xml" ContentType="application/vnd.openxmlformats-officedocument.theme+xml"/>
  <Override PartName="/xl/webextensions/webextension1.xml" ContentType="application/vnd.ms-office.webextension+xml"/>
  <Override PartName="/xl/webextensions/taskpanes.xml" ContentType="application/vnd.ms-office.webextensiontaskpanes+xml"/>
  <Override PartName="/xl/worksheets/sheet1.xml" ContentType="application/vnd.openxmlformats-officedocument.spreadsheetml.worksheet+xml"/>
  <Override PartName="/xl/sharedStrings.xml" ContentType="application/vnd.openxmlformats-officedocument.spreadsheetml.sharedStrings+xml"/>
  <Override PartName="/xl/charts/chart2.xml" ContentType="application/vnd.openxmlformats-officedocument.drawingml.chart+xml"/>
  <Override PartName="/xl/charts/colors1.xml" ContentType="application/vnd.ms-office.chartcolorstyle+xml"/>
  <Override PartName="/xl/charts/style1.xml" ContentType="application/vnd.ms-office.chartstyle+xml"/>
  <Override PartName="/xl/charts/chart1.xml" ContentType="application/vnd.openxmlformats-officedocument.drawingml.chart+xml"/>
  <Override PartName="/xl/drawings/drawing1.xml" ContentType="application/vnd.openxmlformats-officedocument.drawing+xml"/>
  <Override PartName="/xl/charts/colors3.xml" ContentType="application/vnd.ms-office.chartcolorstyle+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1.xml" ContentType="application/vnd.openxmlformats-officedocument.customXmlProperties+xml"/>
  <Override PartName="/docProps/custom.xml" ContentType="application/vnd.openxmlformats-officedocument.custom-properties+xml"/>
  <Override PartName="/xl/tables/table1.xml" ContentType="application/vnd.openxmlformats-officedocument.spreadsheetml.table+xml"/>
</Types>
</file>

<file path=_rels/.rels>&#65279;<?xml version="1.0" encoding="utf-8"?><Relationships xmlns="http://schemas.openxmlformats.org/package/2006/relationships"><Relationship Type="http://schemas.microsoft.com/office/2011/relationships/webextensiontaskpanes" Target="xl/webextensions/taskpanes.xml" Id="rId2" /><Relationship Type="http://schemas.openxmlformats.org/officeDocument/2006/relationships/officeDocument" Target="xl/workbook.xml" Id="rId1" /><Relationship Type="http://schemas.openxmlformats.org/officeDocument/2006/relationships/custom-properties" Target="docProps/custom.xml" Id="rId6" /><Relationship Type="http://schemas.openxmlformats.org/officeDocument/2006/relationships/extended-properties" Target="docProps/app.xml" Id="rId5" /><Relationship Type="http://schemas.openxmlformats.org/package/2006/relationships/metadata/core-properties" Target="docProps/core.xml" Id="rId4" /><Relationship Type="http://schemas.openxmlformats.org/package/2006/relationships/metadata/thumbnail" Target="/docProps/Thumbnail.png" Id="rId3"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Owner\Desktop\"/>
    </mc:Choice>
  </mc:AlternateContent>
  <bookViews>
    <workbookView xWindow="0" yWindow="0" windowWidth="24000" windowHeight="14820"/>
  </bookViews>
  <sheets>
    <sheet name="PORTFOLIO" sheetId="1" r:id="rId1"/>
    <sheet name="calculations" sheetId="2" state="hidden" r:id="rId2"/>
  </sheets>
  <definedNames>
    <definedName name="ChartChoice">"Sectors"</definedName>
    <definedName name="ChartOptionCategoreis">CHOOSE(MATCH(ChartChoice,{"Sectors","Industries"},0),Sectors,Industries)</definedName>
    <definedName name="ChartOptionTitle">CHOOSE(MATCH(ChartChoice,{"Sectors","Industries"},0),"Portfolio Sectors","Portfolio Industries")</definedName>
    <definedName name="ChartOptionValues">CHOOSE(MATCH(ChartChoice,{"Sectors","Industries"},0),SectorValues,IndustryValues)</definedName>
    <definedName name="Industries">OFFSET(calculations!$D$26,,,calculations!$D$25)</definedName>
    <definedName name="IndustryValues">OFFSET(calculations!$E$26,,,calculations!$D$25)</definedName>
    <definedName name="PositionsTitle">calculations!$H$54</definedName>
    <definedName name="_xlnm.Print_Titles" localSheetId="0">PORTFOLIO!$16:$16</definedName>
    <definedName name="Sectors">OFFSET(calculations!$D$10,,,calculations!$D$9)</definedName>
    <definedName name="SectorValues">OFFSET(calculations!$E$10,,,calculations!$D$9)</definedName>
    <definedName name="Stocks">OFFSET(calculations!$L$57,,,calculations!$H$56)</definedName>
    <definedName name="StockValues">OFFSET(calculations!$J$57,,,calculations!$H$56)</definedName>
    <definedName name="TotalTitle">"Total Value of Portfolio: " &amp; TEXT(SUM(Table1[Total]),"$#,##0.00_)")</definedName>
    <definedName name="Types">OFFSET(calculations!$D$42,,,calculations!$D$41)</definedName>
    <definedName name="TypeValues">OFFSET(calculations!$E$42,,,calculations!$D$41)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7" i="1" l="1"/>
  <c r="H18" i="1"/>
  <c r="H19" i="1"/>
  <c r="H20" i="1"/>
  <c r="H21" i="1"/>
  <c r="H22" i="1"/>
  <c r="H23" i="1"/>
  <c r="H24" i="1"/>
  <c r="H25" i="1"/>
  <c r="H26" i="1"/>
  <c r="H27" i="1"/>
  <c r="H28" i="1"/>
  <c r="C41" i="2" l="1" a="1"/>
  <c r="C41" i="2" s="1"/>
  <c r="D2" i="1" l="1"/>
  <c r="H29" i="1" l="1"/>
  <c r="G57" i="2"/>
  <c r="H57" i="2" s="1"/>
  <c r="C25" i="2" a="1"/>
  <c r="C25" i="2" s="1"/>
  <c r="C26" i="2" s="1" a="1"/>
  <c r="C26" i="2" s="1"/>
  <c r="C9" i="2" a="1"/>
  <c r="C9" i="2" s="1"/>
  <c r="C10" i="2" s="1" a="1"/>
  <c r="C10" i="2" s="1"/>
  <c r="G156" i="2"/>
  <c r="I156" i="2" s="1"/>
  <c r="G155" i="2"/>
  <c r="I155" i="2" s="1"/>
  <c r="G154" i="2"/>
  <c r="I154" i="2" s="1"/>
  <c r="G153" i="2"/>
  <c r="I153" i="2" s="1"/>
  <c r="G152" i="2"/>
  <c r="I152" i="2" s="1"/>
  <c r="G151" i="2"/>
  <c r="I151" i="2" s="1"/>
  <c r="G150" i="2"/>
  <c r="I150" i="2" s="1"/>
  <c r="G149" i="2"/>
  <c r="I149" i="2" s="1"/>
  <c r="G148" i="2"/>
  <c r="I148" i="2" s="1"/>
  <c r="G147" i="2"/>
  <c r="I147" i="2" s="1"/>
  <c r="G146" i="2"/>
  <c r="I146" i="2" s="1"/>
  <c r="G145" i="2"/>
  <c r="I145" i="2" s="1"/>
  <c r="G144" i="2"/>
  <c r="I144" i="2" s="1"/>
  <c r="G143" i="2"/>
  <c r="I143" i="2" s="1"/>
  <c r="G142" i="2"/>
  <c r="I142" i="2" s="1"/>
  <c r="G141" i="2"/>
  <c r="I141" i="2" s="1"/>
  <c r="G140" i="2"/>
  <c r="I140" i="2" s="1"/>
  <c r="G139" i="2"/>
  <c r="I139" i="2" s="1"/>
  <c r="G138" i="2"/>
  <c r="I138" i="2" s="1"/>
  <c r="G137" i="2"/>
  <c r="I137" i="2" s="1"/>
  <c r="G136" i="2"/>
  <c r="I136" i="2" s="1"/>
  <c r="G135" i="2"/>
  <c r="I135" i="2" s="1"/>
  <c r="G134" i="2"/>
  <c r="I134" i="2" s="1"/>
  <c r="G133" i="2"/>
  <c r="I133" i="2" s="1"/>
  <c r="G132" i="2"/>
  <c r="I132" i="2" s="1"/>
  <c r="G131" i="2"/>
  <c r="I131" i="2" s="1"/>
  <c r="G130" i="2"/>
  <c r="I130" i="2" s="1"/>
  <c r="G129" i="2"/>
  <c r="I129" i="2" s="1"/>
  <c r="G128" i="2"/>
  <c r="I128" i="2" s="1"/>
  <c r="G127" i="2"/>
  <c r="I127" i="2" s="1"/>
  <c r="G126" i="2"/>
  <c r="I126" i="2" s="1"/>
  <c r="G125" i="2"/>
  <c r="I125" i="2" s="1"/>
  <c r="G124" i="2"/>
  <c r="I124" i="2" s="1"/>
  <c r="G123" i="2"/>
  <c r="I123" i="2" s="1"/>
  <c r="G122" i="2"/>
  <c r="I122" i="2" s="1"/>
  <c r="G121" i="2"/>
  <c r="I121" i="2" s="1"/>
  <c r="G120" i="2"/>
  <c r="I120" i="2" s="1"/>
  <c r="G119" i="2"/>
  <c r="I119" i="2" s="1"/>
  <c r="G118" i="2"/>
  <c r="I118" i="2" s="1"/>
  <c r="G117" i="2"/>
  <c r="I117" i="2" s="1"/>
  <c r="G116" i="2"/>
  <c r="I116" i="2" s="1"/>
  <c r="G115" i="2"/>
  <c r="I115" i="2" s="1"/>
  <c r="G114" i="2"/>
  <c r="I114" i="2" s="1"/>
  <c r="G113" i="2"/>
  <c r="I113" i="2" s="1"/>
  <c r="G112" i="2"/>
  <c r="I112" i="2" s="1"/>
  <c r="G111" i="2"/>
  <c r="I111" i="2" s="1"/>
  <c r="G110" i="2"/>
  <c r="I110" i="2" s="1"/>
  <c r="G109" i="2"/>
  <c r="I109" i="2" s="1"/>
  <c r="G108" i="2"/>
  <c r="I108" i="2" s="1"/>
  <c r="G107" i="2"/>
  <c r="I107" i="2" s="1"/>
  <c r="G106" i="2"/>
  <c r="I106" i="2" s="1"/>
  <c r="G105" i="2"/>
  <c r="I105" i="2" s="1"/>
  <c r="G104" i="2"/>
  <c r="I104" i="2" s="1"/>
  <c r="G103" i="2"/>
  <c r="I103" i="2" s="1"/>
  <c r="G102" i="2"/>
  <c r="I102" i="2" s="1"/>
  <c r="G101" i="2"/>
  <c r="I101" i="2" s="1"/>
  <c r="G100" i="2"/>
  <c r="I100" i="2" s="1"/>
  <c r="G99" i="2"/>
  <c r="I99" i="2" s="1"/>
  <c r="G98" i="2"/>
  <c r="I98" i="2" s="1"/>
  <c r="G97" i="2"/>
  <c r="I97" i="2" s="1"/>
  <c r="G96" i="2"/>
  <c r="I96" i="2" s="1"/>
  <c r="G95" i="2"/>
  <c r="I95" i="2" s="1"/>
  <c r="G94" i="2"/>
  <c r="I94" i="2" s="1"/>
  <c r="G93" i="2"/>
  <c r="I93" i="2" s="1"/>
  <c r="G92" i="2"/>
  <c r="I92" i="2" s="1"/>
  <c r="G91" i="2"/>
  <c r="I91" i="2" s="1"/>
  <c r="G90" i="2"/>
  <c r="I90" i="2" s="1"/>
  <c r="G89" i="2"/>
  <c r="I89" i="2" s="1"/>
  <c r="G88" i="2"/>
  <c r="I88" i="2" s="1"/>
  <c r="G87" i="2"/>
  <c r="I87" i="2" s="1"/>
  <c r="G86" i="2"/>
  <c r="I86" i="2" s="1"/>
  <c r="G85" i="2"/>
  <c r="I85" i="2" s="1"/>
  <c r="G84" i="2"/>
  <c r="I84" i="2" s="1"/>
  <c r="G83" i="2"/>
  <c r="I83" i="2" s="1"/>
  <c r="G82" i="2"/>
  <c r="I82" i="2" s="1"/>
  <c r="G81" i="2"/>
  <c r="I81" i="2" s="1"/>
  <c r="G80" i="2"/>
  <c r="I80" i="2" s="1"/>
  <c r="G79" i="2"/>
  <c r="I79" i="2" s="1"/>
  <c r="G78" i="2"/>
  <c r="I78" i="2" s="1"/>
  <c r="G77" i="2"/>
  <c r="I77" i="2" s="1"/>
  <c r="G76" i="2"/>
  <c r="I76" i="2" s="1"/>
  <c r="G75" i="2"/>
  <c r="I75" i="2" s="1"/>
  <c r="G74" i="2"/>
  <c r="I74" i="2" s="1"/>
  <c r="G73" i="2"/>
  <c r="I73" i="2" s="1"/>
  <c r="G72" i="2"/>
  <c r="I72" i="2" s="1"/>
  <c r="G71" i="2"/>
  <c r="G70" i="2"/>
  <c r="I70" i="2" s="1"/>
  <c r="G69" i="2"/>
  <c r="I69" i="2" s="1"/>
  <c r="G68" i="2"/>
  <c r="I68" i="2" s="1"/>
  <c r="G67" i="2"/>
  <c r="G66" i="2"/>
  <c r="I66" i="2" s="1"/>
  <c r="G65" i="2"/>
  <c r="I65" i="2" s="1"/>
  <c r="G64" i="2"/>
  <c r="G63" i="2"/>
  <c r="G62" i="2"/>
  <c r="G61" i="2"/>
  <c r="G60" i="2"/>
  <c r="G59" i="2"/>
  <c r="G58" i="2"/>
  <c r="I64" i="2" l="1"/>
  <c r="I62" i="2"/>
  <c r="I61" i="2"/>
  <c r="I60" i="2"/>
  <c r="I57" i="2"/>
  <c r="C44" i="2" a="1"/>
  <c r="C44" i="2" s="1"/>
  <c r="C45" i="2" s="1" a="1"/>
  <c r="C45" i="2" s="1"/>
  <c r="C27" i="2" a="1"/>
  <c r="C27" i="2" s="1"/>
  <c r="C11" i="2" a="1"/>
  <c r="C11" i="2" s="1"/>
  <c r="C12" i="2" s="1" a="1"/>
  <c r="C12" i="2" s="1"/>
  <c r="I58" i="2"/>
  <c r="H147" i="2"/>
  <c r="H143" i="2"/>
  <c r="I59" i="2"/>
  <c r="I63" i="2"/>
  <c r="I67" i="2"/>
  <c r="I71" i="2"/>
  <c r="H111" i="2"/>
  <c r="H149" i="2"/>
  <c r="H107" i="2"/>
  <c r="H130" i="2"/>
  <c r="H127" i="2"/>
  <c r="H155" i="2"/>
  <c r="H133" i="2"/>
  <c r="H117" i="2"/>
  <c r="H122" i="2"/>
  <c r="H135" i="2"/>
  <c r="H108" i="2"/>
  <c r="H114" i="2"/>
  <c r="H146" i="2"/>
  <c r="H144" i="2"/>
  <c r="H124" i="2"/>
  <c r="H116" i="2"/>
  <c r="H136" i="2"/>
  <c r="H120" i="2"/>
  <c r="H152" i="2"/>
  <c r="H140" i="2"/>
  <c r="H132" i="2"/>
  <c r="H112" i="2"/>
  <c r="H128" i="2"/>
  <c r="H125" i="2"/>
  <c r="H119" i="2"/>
  <c r="H151" i="2"/>
  <c r="H138" i="2"/>
  <c r="H154" i="2"/>
  <c r="H141" i="2"/>
  <c r="H109" i="2"/>
  <c r="H156" i="2"/>
  <c r="H145" i="2"/>
  <c r="H129" i="2"/>
  <c r="H153" i="2"/>
  <c r="H142" i="2"/>
  <c r="H126" i="2"/>
  <c r="H110" i="2"/>
  <c r="H148" i="2"/>
  <c r="H134" i="2"/>
  <c r="H118" i="2"/>
  <c r="H137" i="2"/>
  <c r="H121" i="2"/>
  <c r="H113" i="2"/>
  <c r="H139" i="2"/>
  <c r="H131" i="2"/>
  <c r="H123" i="2"/>
  <c r="H115" i="2"/>
  <c r="H150"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60" i="2"/>
  <c r="C6" i="2"/>
  <c r="D42" i="2"/>
  <c r="B42" i="2"/>
  <c r="C46" i="2" l="1" a="1"/>
  <c r="C46" i="2" s="1"/>
  <c r="C28" i="2" a="1"/>
  <c r="C28" i="2" s="1"/>
  <c r="C13" i="2" a="1"/>
  <c r="C13" i="2" s="1"/>
  <c r="B43" i="2"/>
  <c r="D43" i="2"/>
  <c r="H65" i="2"/>
  <c r="H69" i="2"/>
  <c r="H67" i="2"/>
  <c r="H71" i="2"/>
  <c r="H68" i="2"/>
  <c r="H72" i="2"/>
  <c r="H66" i="2"/>
  <c r="H70" i="2"/>
  <c r="H62" i="2"/>
  <c r="H58" i="2"/>
  <c r="H64" i="2"/>
  <c r="H63" i="2"/>
  <c r="H59" i="2"/>
  <c r="H61" i="2"/>
  <c r="E43" i="2"/>
  <c r="E42" i="2"/>
  <c r="C47" i="2" l="1" a="1"/>
  <c r="C47" i="2" s="1"/>
  <c r="C48" i="2" s="1" a="1"/>
  <c r="C48" i="2" s="1"/>
  <c r="C29" i="2" a="1"/>
  <c r="C29" i="2" s="1"/>
  <c r="C14" i="2" a="1"/>
  <c r="C14" i="2" s="1"/>
  <c r="J66" i="2"/>
  <c r="K66" i="2" s="1"/>
  <c r="L66" i="2" s="1"/>
  <c r="J74" i="2"/>
  <c r="K74" i="2" s="1"/>
  <c r="L74" i="2" s="1"/>
  <c r="J99" i="2"/>
  <c r="K99" i="2" s="1"/>
  <c r="L99" i="2" s="1"/>
  <c r="J79" i="2"/>
  <c r="K79" i="2" s="1"/>
  <c r="L79" i="2" s="1"/>
  <c r="J71" i="2"/>
  <c r="K71" i="2" s="1"/>
  <c r="L71" i="2" s="1"/>
  <c r="J145" i="2"/>
  <c r="K145" i="2" s="1"/>
  <c r="L145" i="2" s="1"/>
  <c r="J152" i="2"/>
  <c r="K152" i="2" s="1"/>
  <c r="L152" i="2" s="1"/>
  <c r="H56" i="2" a="1"/>
  <c r="H56" i="2" s="1"/>
  <c r="H54" i="2" s="1" a="1"/>
  <c r="H54" i="2" s="1"/>
  <c r="J123" i="2"/>
  <c r="K123" i="2" s="1"/>
  <c r="L123" i="2" s="1"/>
  <c r="J131" i="2"/>
  <c r="K131" i="2" s="1"/>
  <c r="L131" i="2" s="1"/>
  <c r="J62" i="2"/>
  <c r="K62" i="2" s="1"/>
  <c r="L62" i="2" s="1"/>
  <c r="J95" i="2"/>
  <c r="K95" i="2" s="1"/>
  <c r="L95" i="2" s="1"/>
  <c r="J151" i="2"/>
  <c r="K151" i="2" s="1"/>
  <c r="L151" i="2" s="1"/>
  <c r="J87" i="2"/>
  <c r="K87" i="2" s="1"/>
  <c r="L87" i="2" s="1"/>
  <c r="J115" i="2"/>
  <c r="K115" i="2" s="1"/>
  <c r="L115" i="2" s="1"/>
  <c r="J149" i="2"/>
  <c r="K149" i="2" s="1"/>
  <c r="L149" i="2" s="1"/>
  <c r="J133" i="2"/>
  <c r="K133" i="2" s="1"/>
  <c r="L133" i="2" s="1"/>
  <c r="J117" i="2"/>
  <c r="K117" i="2" s="1"/>
  <c r="L117" i="2" s="1"/>
  <c r="J101" i="2"/>
  <c r="K101" i="2" s="1"/>
  <c r="L101" i="2" s="1"/>
  <c r="J85" i="2"/>
  <c r="K85" i="2" s="1"/>
  <c r="L85" i="2" s="1"/>
  <c r="J69" i="2"/>
  <c r="K69" i="2" s="1"/>
  <c r="L69" i="2" s="1"/>
  <c r="J156" i="2"/>
  <c r="K156" i="2" s="1"/>
  <c r="L156" i="2" s="1"/>
  <c r="J140" i="2"/>
  <c r="K140" i="2" s="1"/>
  <c r="L140" i="2" s="1"/>
  <c r="J124" i="2"/>
  <c r="K124" i="2" s="1"/>
  <c r="L124" i="2" s="1"/>
  <c r="J108" i="2"/>
  <c r="K108" i="2" s="1"/>
  <c r="L108" i="2" s="1"/>
  <c r="J92" i="2"/>
  <c r="K92" i="2" s="1"/>
  <c r="L92" i="2" s="1"/>
  <c r="J76" i="2"/>
  <c r="K76" i="2" s="1"/>
  <c r="L76" i="2" s="1"/>
  <c r="J63" i="2"/>
  <c r="K63" i="2" s="1"/>
  <c r="L63" i="2" s="1"/>
  <c r="J142" i="2"/>
  <c r="K142" i="2" s="1"/>
  <c r="L142" i="2" s="1"/>
  <c r="J126" i="2"/>
  <c r="K126" i="2" s="1"/>
  <c r="L126" i="2" s="1"/>
  <c r="J110" i="2"/>
  <c r="K110" i="2" s="1"/>
  <c r="L110" i="2" s="1"/>
  <c r="J94" i="2"/>
  <c r="K94" i="2" s="1"/>
  <c r="L94" i="2" s="1"/>
  <c r="J78" i="2"/>
  <c r="K78" i="2" s="1"/>
  <c r="L78" i="2" s="1"/>
  <c r="J58" i="2"/>
  <c r="K58" i="2" s="1"/>
  <c r="L58" i="2" s="1"/>
  <c r="J83" i="2"/>
  <c r="K83" i="2" s="1"/>
  <c r="L83" i="2" s="1"/>
  <c r="J127" i="2"/>
  <c r="K127" i="2" s="1"/>
  <c r="L127" i="2" s="1"/>
  <c r="J139" i="2"/>
  <c r="K139" i="2" s="1"/>
  <c r="L139" i="2" s="1"/>
  <c r="J119" i="2"/>
  <c r="K119" i="2" s="1"/>
  <c r="L119" i="2" s="1"/>
  <c r="J155" i="2"/>
  <c r="K155" i="2" s="1"/>
  <c r="L155" i="2" s="1"/>
  <c r="J64" i="2"/>
  <c r="K64" i="2" s="1"/>
  <c r="L64" i="2" s="1"/>
  <c r="J141" i="2"/>
  <c r="K141" i="2" s="1"/>
  <c r="L141" i="2" s="1"/>
  <c r="J125" i="2"/>
  <c r="K125" i="2" s="1"/>
  <c r="L125" i="2" s="1"/>
  <c r="J109" i="2"/>
  <c r="K109" i="2" s="1"/>
  <c r="L109" i="2" s="1"/>
  <c r="J93" i="2"/>
  <c r="K93" i="2" s="1"/>
  <c r="L93" i="2" s="1"/>
  <c r="J77" i="2"/>
  <c r="K77" i="2" s="1"/>
  <c r="L77" i="2" s="1"/>
  <c r="J57" i="2"/>
  <c r="K57" i="2" s="1"/>
  <c r="L57" i="2" s="1"/>
  <c r="J148" i="2"/>
  <c r="K148" i="2" s="1"/>
  <c r="L148" i="2" s="1"/>
  <c r="J132" i="2"/>
  <c r="K132" i="2" s="1"/>
  <c r="L132" i="2" s="1"/>
  <c r="J116" i="2"/>
  <c r="K116" i="2" s="1"/>
  <c r="L116" i="2" s="1"/>
  <c r="J100" i="2"/>
  <c r="K100" i="2" s="1"/>
  <c r="L100" i="2" s="1"/>
  <c r="J84" i="2"/>
  <c r="K84" i="2" s="1"/>
  <c r="L84" i="2" s="1"/>
  <c r="J68" i="2"/>
  <c r="K68" i="2" s="1"/>
  <c r="L68" i="2" s="1"/>
  <c r="J150" i="2"/>
  <c r="K150" i="2" s="1"/>
  <c r="L150" i="2" s="1"/>
  <c r="J134" i="2"/>
  <c r="K134" i="2" s="1"/>
  <c r="L134" i="2" s="1"/>
  <c r="J118" i="2"/>
  <c r="K118" i="2" s="1"/>
  <c r="L118" i="2" s="1"/>
  <c r="J102" i="2"/>
  <c r="K102" i="2" s="1"/>
  <c r="L102" i="2" s="1"/>
  <c r="J86" i="2"/>
  <c r="K86" i="2" s="1"/>
  <c r="L86" i="2" s="1"/>
  <c r="J70" i="2"/>
  <c r="K70" i="2" s="1"/>
  <c r="L70" i="2" s="1"/>
  <c r="J75" i="2"/>
  <c r="K75" i="2" s="1"/>
  <c r="L75" i="2" s="1"/>
  <c r="J143" i="2"/>
  <c r="K143" i="2" s="1"/>
  <c r="L143" i="2" s="1"/>
  <c r="J135" i="2"/>
  <c r="K135" i="2" s="1"/>
  <c r="L135" i="2" s="1"/>
  <c r="J60" i="2"/>
  <c r="K60" i="2" s="1"/>
  <c r="L60" i="2" s="1"/>
  <c r="J129" i="2"/>
  <c r="K129" i="2" s="1"/>
  <c r="L129" i="2" s="1"/>
  <c r="J113" i="2"/>
  <c r="K113" i="2" s="1"/>
  <c r="L113" i="2" s="1"/>
  <c r="J97" i="2"/>
  <c r="K97" i="2" s="1"/>
  <c r="L97" i="2" s="1"/>
  <c r="J81" i="2"/>
  <c r="K81" i="2" s="1"/>
  <c r="L81" i="2" s="1"/>
  <c r="J65" i="2"/>
  <c r="K65" i="2" s="1"/>
  <c r="L65" i="2" s="1"/>
  <c r="J136" i="2"/>
  <c r="K136" i="2" s="1"/>
  <c r="L136" i="2" s="1"/>
  <c r="J120" i="2"/>
  <c r="K120" i="2" s="1"/>
  <c r="L120" i="2" s="1"/>
  <c r="J104" i="2"/>
  <c r="K104" i="2" s="1"/>
  <c r="L104" i="2" s="1"/>
  <c r="J88" i="2"/>
  <c r="K88" i="2" s="1"/>
  <c r="L88" i="2" s="1"/>
  <c r="J72" i="2"/>
  <c r="K72" i="2" s="1"/>
  <c r="L72" i="2" s="1"/>
  <c r="J154" i="2"/>
  <c r="K154" i="2" s="1"/>
  <c r="L154" i="2" s="1"/>
  <c r="J138" i="2"/>
  <c r="K138" i="2" s="1"/>
  <c r="L138" i="2" s="1"/>
  <c r="J122" i="2"/>
  <c r="K122" i="2" s="1"/>
  <c r="L122" i="2" s="1"/>
  <c r="J106" i="2"/>
  <c r="K106" i="2" s="1"/>
  <c r="L106" i="2" s="1"/>
  <c r="J90" i="2"/>
  <c r="K90" i="2" s="1"/>
  <c r="L90" i="2" s="1"/>
  <c r="J147" i="2"/>
  <c r="K147" i="2" s="1"/>
  <c r="L147" i="2" s="1"/>
  <c r="J67" i="2"/>
  <c r="K67" i="2" s="1"/>
  <c r="L67" i="2" s="1"/>
  <c r="J111" i="2"/>
  <c r="K111" i="2" s="1"/>
  <c r="L111" i="2" s="1"/>
  <c r="J91" i="2"/>
  <c r="K91" i="2" s="1"/>
  <c r="L91" i="2" s="1"/>
  <c r="J103" i="2"/>
  <c r="K103" i="2" s="1"/>
  <c r="L103" i="2" s="1"/>
  <c r="J107" i="2"/>
  <c r="K107" i="2" s="1"/>
  <c r="L107" i="2" s="1"/>
  <c r="J153" i="2"/>
  <c r="K153" i="2" s="1"/>
  <c r="L153" i="2" s="1"/>
  <c r="J137" i="2"/>
  <c r="K137" i="2" s="1"/>
  <c r="L137" i="2" s="1"/>
  <c r="J121" i="2"/>
  <c r="K121" i="2" s="1"/>
  <c r="L121" i="2" s="1"/>
  <c r="J105" i="2"/>
  <c r="K105" i="2" s="1"/>
  <c r="L105" i="2" s="1"/>
  <c r="J89" i="2"/>
  <c r="K89" i="2" s="1"/>
  <c r="L89" i="2" s="1"/>
  <c r="J73" i="2"/>
  <c r="K73" i="2" s="1"/>
  <c r="L73" i="2" s="1"/>
  <c r="J61" i="2"/>
  <c r="K61" i="2" s="1"/>
  <c r="L61" i="2" s="1"/>
  <c r="J144" i="2"/>
  <c r="K144" i="2" s="1"/>
  <c r="L144" i="2" s="1"/>
  <c r="J128" i="2"/>
  <c r="K128" i="2" s="1"/>
  <c r="L128" i="2" s="1"/>
  <c r="J112" i="2"/>
  <c r="K112" i="2" s="1"/>
  <c r="L112" i="2" s="1"/>
  <c r="J96" i="2"/>
  <c r="K96" i="2" s="1"/>
  <c r="L96" i="2" s="1"/>
  <c r="J80" i="2"/>
  <c r="K80" i="2" s="1"/>
  <c r="L80" i="2" s="1"/>
  <c r="J59" i="2"/>
  <c r="K59" i="2" s="1"/>
  <c r="L59" i="2" s="1"/>
  <c r="J146" i="2"/>
  <c r="K146" i="2" s="1"/>
  <c r="L146" i="2" s="1"/>
  <c r="J130" i="2"/>
  <c r="K130" i="2" s="1"/>
  <c r="L130" i="2" s="1"/>
  <c r="J114" i="2"/>
  <c r="K114" i="2" s="1"/>
  <c r="L114" i="2" s="1"/>
  <c r="J98" i="2"/>
  <c r="K98" i="2" s="1"/>
  <c r="L98" i="2" s="1"/>
  <c r="J82" i="2"/>
  <c r="K82" i="2" s="1"/>
  <c r="L82" i="2" s="1"/>
  <c r="D44" i="2"/>
  <c r="B44" i="2"/>
  <c r="E44" i="2" s="1"/>
  <c r="D10" i="2"/>
  <c r="B10" i="2"/>
  <c r="E10" i="2" s="1"/>
  <c r="D26" i="2"/>
  <c r="B26" i="2"/>
  <c r="E26" i="2" s="1"/>
  <c r="B45" i="2"/>
  <c r="E45" i="2" s="1"/>
  <c r="D45" i="2"/>
  <c r="C49" i="2" l="1" a="1"/>
  <c r="C49" i="2" s="1"/>
  <c r="C50" i="2" s="1" a="1"/>
  <c r="C50" i="2" s="1"/>
  <c r="C51" i="2" s="1" a="1"/>
  <c r="C51" i="2" s="1"/>
  <c r="C30" i="2" a="1"/>
  <c r="C30" i="2" s="1"/>
  <c r="C31" i="2" s="1" a="1"/>
  <c r="C31" i="2" s="1"/>
  <c r="C15" i="2" a="1"/>
  <c r="C15" i="2" s="1"/>
  <c r="B11" i="2"/>
  <c r="E11" i="2" s="1"/>
  <c r="D11" i="2"/>
  <c r="B27" i="2"/>
  <c r="E27" i="2" s="1"/>
  <c r="D27" i="2"/>
  <c r="E46" i="2"/>
  <c r="B46" i="2"/>
  <c r="D46" i="2"/>
  <c r="E47" i="2"/>
  <c r="B47" i="2"/>
  <c r="D47" i="2"/>
  <c r="C32" i="2" l="1" a="1"/>
  <c r="C32" i="2" s="1"/>
  <c r="C33" i="2" s="1" a="1"/>
  <c r="C33" i="2" s="1"/>
  <c r="C16" i="2" a="1"/>
  <c r="C16" i="2" s="1"/>
  <c r="C17" i="2" s="1" a="1"/>
  <c r="C17" i="2" s="1"/>
  <c r="C18" i="2" s="1" a="1"/>
  <c r="C18" i="2" s="1"/>
  <c r="C19" i="2" s="1" a="1"/>
  <c r="C19" i="2" s="1"/>
  <c r="D48" i="2"/>
  <c r="E48" i="2"/>
  <c r="B48" i="2"/>
  <c r="B28" i="2"/>
  <c r="E28" i="2" s="1"/>
  <c r="D28" i="2"/>
  <c r="D12" i="2"/>
  <c r="B12" i="2"/>
  <c r="E12" i="2" s="1"/>
  <c r="C34" i="2" l="1" a="1"/>
  <c r="C34" i="2" s="1"/>
  <c r="C35" i="2" s="1" a="1"/>
  <c r="C35" i="2" s="1"/>
  <c r="E50" i="2"/>
  <c r="B50" i="2"/>
  <c r="D50" i="2"/>
  <c r="E49" i="2"/>
  <c r="B49" i="2"/>
  <c r="D49" i="2"/>
  <c r="B13" i="2"/>
  <c r="E13" i="2" s="1"/>
  <c r="D13" i="2"/>
  <c r="D29" i="2"/>
  <c r="B29" i="2"/>
  <c r="E29" i="2" s="1"/>
  <c r="B16" i="2" l="1"/>
  <c r="E16" i="2" s="1"/>
  <c r="D16" i="2"/>
  <c r="E51" i="2"/>
  <c r="B51" i="2"/>
  <c r="D51" i="2"/>
  <c r="D41" i="2" s="1" a="1"/>
  <c r="D41" i="2" s="1"/>
  <c r="B14" i="2"/>
  <c r="E14" i="2" s="1"/>
  <c r="D14" i="2"/>
  <c r="B30" i="2"/>
  <c r="E30" i="2" s="1"/>
  <c r="D30" i="2"/>
  <c r="D15" i="2"/>
  <c r="B15" i="2"/>
  <c r="E15" i="2" s="1"/>
  <c r="D17" i="2" l="1"/>
  <c r="B17" i="2"/>
  <c r="E17" i="2" s="1"/>
  <c r="B31" i="2"/>
  <c r="E31" i="2" s="1"/>
  <c r="D31" i="2"/>
  <c r="E18" i="2" l="1"/>
  <c r="B18" i="2"/>
  <c r="D18" i="2"/>
  <c r="E19" i="2" l="1"/>
  <c r="B19" i="2"/>
  <c r="D19" i="2"/>
  <c r="D9" i="2" s="1" a="1"/>
  <c r="D9" i="2" s="1"/>
  <c r="D32" i="2" l="1"/>
  <c r="B32" i="2"/>
  <c r="E32" i="2" s="1"/>
  <c r="B33" i="2" l="1"/>
  <c r="E33" i="2" s="1"/>
  <c r="D33" i="2"/>
  <c r="D35" i="2" l="1"/>
  <c r="B35" i="2"/>
  <c r="E35" i="2" s="1"/>
  <c r="B34" i="2"/>
  <c r="E34" i="2" s="1"/>
  <c r="D34" i="2"/>
  <c r="D25" i="2" l="1" a="1"/>
  <c r="D25" i="2" s="1"/>
</calcChain>
</file>

<file path=xl/sharedStrings.xml><?xml version="1.0" encoding="utf-8"?>
<sst xmlns="http://schemas.openxmlformats.org/spreadsheetml/2006/main" count="77" uniqueCount="58">
  <si>
    <t>Symbol</t>
  </si>
  <si>
    <t>Company Name</t>
  </si>
  <si>
    <t>Current Price</t>
  </si>
  <si>
    <t>% Change in Price</t>
  </si>
  <si>
    <t>Quantity</t>
  </si>
  <si>
    <t>Total</t>
  </si>
  <si>
    <t>F</t>
  </si>
  <si>
    <t>LNCO</t>
  </si>
  <si>
    <t>Linn Co</t>
  </si>
  <si>
    <t>Sector</t>
  </si>
  <si>
    <t>Consumer Defensive</t>
  </si>
  <si>
    <t>Consumer Cyclical</t>
  </si>
  <si>
    <t>Energy</t>
  </si>
  <si>
    <t>Industry</t>
  </si>
  <si>
    <t>Packaged Foods</t>
  </si>
  <si>
    <t>Auto Manufacturers</t>
  </si>
  <si>
    <t>Oil &amp; Gas E&amp;P</t>
  </si>
  <si>
    <t>Type</t>
  </si>
  <si>
    <t>Equity</t>
  </si>
  <si>
    <t>Fund</t>
  </si>
  <si>
    <t>ADRD</t>
  </si>
  <si>
    <t>Financial Services</t>
  </si>
  <si>
    <t>Credit Services</t>
  </si>
  <si>
    <t>V</t>
  </si>
  <si>
    <t>TOTAL</t>
  </si>
  <si>
    <t>MSFT</t>
  </si>
  <si>
    <t>Microsoft Corporation</t>
  </si>
  <si>
    <t>Technology</t>
  </si>
  <si>
    <t>Software - Infrastructure</t>
  </si>
  <si>
    <t>Category Plot:</t>
  </si>
  <si>
    <t>Industrials</t>
  </si>
  <si>
    <t>MGI</t>
  </si>
  <si>
    <t>Business Services</t>
  </si>
  <si>
    <t>R</t>
  </si>
  <si>
    <t>Ryder System Inc</t>
  </si>
  <si>
    <t>Rental &amp; Leasing Services</t>
  </si>
  <si>
    <t>JACK</t>
  </si>
  <si>
    <t>Jack In The Box Inc</t>
  </si>
  <si>
    <t>Restaurants</t>
  </si>
  <si>
    <t>GE</t>
  </si>
  <si>
    <t>Diversified Industrials</t>
  </si>
  <si>
    <t>BLDRS Developed Markets 100 ADR Index F</t>
  </si>
  <si>
    <t>MY PORTFOLIO</t>
  </si>
  <si>
    <t>Open</t>
  </si>
  <si>
    <t>SBUX</t>
  </si>
  <si>
    <t>Starbucks Corporation</t>
  </si>
  <si>
    <t>NOK</t>
  </si>
  <si>
    <t>Communication Equipment</t>
  </si>
  <si>
    <t>This sheet should remain hidden. Any changes made to this sheet could result in errors in the Bing Portfolio</t>
  </si>
  <si>
    <t>Change in Price</t>
  </si>
  <si>
    <t>Ford Motor Co</t>
  </si>
  <si>
    <t>BGSC</t>
  </si>
  <si>
    <t>BGS Acquisition Corp</t>
  </si>
  <si>
    <t>Conglomerates</t>
  </si>
  <si>
    <t>Visa</t>
  </si>
  <si>
    <t>MoneyGram International Inc</t>
  </si>
  <si>
    <t>General Electric Co</t>
  </si>
  <si>
    <t>Nokia Corp ADS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</si>
</sst>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5" formatCode="&quot;$&quot;#,##0_);\(&quot;$&quot;#,##0\)"/>
    <numFmt numFmtId="7" formatCode="&quot;$&quot;#,##0.00_);\(&quot;$&quot;#,##0.00\)"/>
    <numFmt numFmtId="164" formatCode="&quot;$&quot;#,##0.00_);\-&quot;$&quot;#,##0.00_)"/>
    <numFmt numFmtId="165" formatCode="0.00%_);\-0.00%_)"/>
    <numFmt numFmtId="166" formatCode="0_);\-0_)"/>
  </numFmts>
  <fonts count="9" x14ac:knownFonts="1">
    <font>
      <sz val="10"/>
      <color theme="3"/>
      <name val="Segoe UI Light"/>
      <family val="2"/>
      <scheme val="minor"/>
    </font>
    <font>
      <sz val="11"/>
      <color theme="1"/>
      <name val="Segoe UI Light"/>
      <family val="2"/>
      <scheme val="minor"/>
    </font>
    <font>
      <sz val="10"/>
      <color theme="3"/>
      <name val="Segoe UI Light"/>
      <family val="2"/>
      <scheme val="minor"/>
    </font>
    <font>
      <sz val="11"/>
      <color theme="0"/>
      <name val="Segoe UI"/>
      <family val="2"/>
      <scheme val="major"/>
    </font>
    <font>
      <b/>
      <sz val="10"/>
      <color theme="0"/>
      <name val="Segoe UI"/>
      <family val="2"/>
      <scheme val="major"/>
    </font>
    <font>
      <sz val="24"/>
      <color theme="0"/>
      <name val="Segoe UI"/>
      <family val="2"/>
      <scheme val="major"/>
    </font>
    <font>
      <sz val="24"/>
      <color theme="0"/>
      <name val="Segoe UI Light"/>
      <family val="2"/>
      <scheme val="minor"/>
    </font>
    <font>
      <sz val="12"/>
      <color theme="0"/>
      <name val="Segoe UI"/>
      <family val="2"/>
      <scheme val="major"/>
    </font>
    <font>
      <sz val="10"/>
      <color theme="1"/>
      <name val="Segoe UI"/>
      <family val="2"/>
      <scheme val="major"/>
    </font>
  </fonts>
  <fills count="8">
    <fill>
      <patternFill patternType="none"/>
    </fill>
    <fill>
      <patternFill patternType="gray125"/>
    </fill>
    <fill>
      <patternFill patternType="solid">
        <fgColor theme="9" tint="0.79998168889431442"/>
        <bgColor indexed="64"/>
      </patternFill>
    </fill>
    <fill>
      <patternFill patternType="solid">
        <fgColor theme="7"/>
        <bgColor indexed="64"/>
      </patternFill>
    </fill>
    <fill>
      <patternFill patternType="solid">
        <fgColor theme="1"/>
        <bgColor indexed="64"/>
      </patternFill>
    </fill>
    <fill>
      <patternFill patternType="solid">
        <fgColor theme="3"/>
        <bgColor indexed="64"/>
      </patternFill>
    </fill>
    <fill>
      <patternFill patternType="solid">
        <fgColor theme="6"/>
        <bgColor indexed="64"/>
      </patternFill>
    </fill>
    <fill>
      <patternFill patternType="solid">
        <fgColor theme="3" tint="0.59999389629810485"/>
        <bgColor indexed="64"/>
      </patternFill>
    </fill>
  </fills>
  <borders count="1">
    <border>
      <left/>
      <right/>
      <top/>
      <bottom/>
      <diagonal/>
    </border>
  </borders>
  <cellStyleXfs count="8">
    <xf numFmtId="0" fontId="0" fillId="0" borderId="0">
      <alignment vertical="center"/>
    </xf>
    <xf numFmtId="164" fontId="1" fillId="0" borderId="0" applyFont="0" applyFill="0" applyBorder="0" applyProtection="0">
      <alignment horizontal="right" vertical="center"/>
    </xf>
    <xf numFmtId="0" fontId="3" fillId="6" borderId="0" applyNumberFormat="0" applyFill="0" applyBorder="0" applyProtection="0">
      <alignment wrapText="1"/>
    </xf>
    <xf numFmtId="0" fontId="5" fillId="4" borderId="0" applyNumberFormat="0" applyBorder="0" applyAlignment="0" applyProtection="0"/>
    <xf numFmtId="0" fontId="2" fillId="3" borderId="0" applyNumberFormat="0" applyFont="0" applyBorder="0" applyAlignment="0" applyProtection="0">
      <alignment vertical="center"/>
    </xf>
    <xf numFmtId="0" fontId="2" fillId="5" borderId="0" applyNumberFormat="0" applyFont="0" applyBorder="0" applyAlignment="0" applyProtection="0">
      <alignment vertical="center"/>
    </xf>
    <xf numFmtId="7" fontId="4" fillId="3" borderId="0" applyNumberFormat="0" applyBorder="0" applyProtection="0">
      <alignment horizontal="right" vertical="center" indent="1"/>
    </xf>
    <xf numFmtId="165" fontId="2" fillId="0" borderId="0" applyFont="0" applyFill="0" applyBorder="0" applyAlignment="0" applyProtection="0"/>
  </cellStyleXfs>
  <cellXfs count="23">
    <xf numFmtId="0" fontId="0" fillId="0" borderId="0" xfId="0">
      <alignment vertical="center"/>
    </xf>
    <xf numFmtId="164" fontId="0" fillId="0" borderId="0" xfId="1" applyFont="1">
      <alignment horizontal="right" vertical="center"/>
    </xf>
    <xf numFmtId="0" fontId="0" fillId="2" borderId="0" xfId="0" applyFill="1">
      <alignment vertical="center"/>
    </xf>
    <xf numFmtId="0" fontId="0" fillId="2" borderId="0" xfId="0" applyFill="1" applyAlignment="1">
      <alignment horizontal="left"/>
    </xf>
    <xf numFmtId="7" fontId="0" fillId="0" borderId="0" xfId="0" applyNumberFormat="1">
      <alignment vertical="center"/>
    </xf>
    <xf numFmtId="5" fontId="0" fillId="0" borderId="0" xfId="1" applyNumberFormat="1" applyFont="1">
      <alignment horizontal="right" vertical="center"/>
    </xf>
    <xf numFmtId="0" fontId="0" fillId="3" borderId="0" xfId="4" applyFont="1">
      <alignment vertical="center"/>
    </xf>
    <xf numFmtId="0" fontId="5" fillId="4" borderId="0" xfId="3" applyAlignment="1">
      <alignment vertical="center"/>
    </xf>
    <xf numFmtId="0" fontId="0" fillId="5" borderId="0" xfId="5" applyFont="1">
      <alignment vertical="center"/>
    </xf>
    <xf numFmtId="0" fontId="6" fillId="4" borderId="0" xfId="3" applyFont="1" applyAlignment="1">
      <alignment vertical="center"/>
    </xf>
    <xf numFmtId="0" fontId="0" fillId="0" borderId="0" xfId="0" applyFont="1" applyFill="1" applyBorder="1">
      <alignment vertical="center"/>
    </xf>
    <xf numFmtId="0" fontId="0" fillId="0" borderId="0" xfId="0" applyNumberFormat="1" applyFont="1" applyFill="1" applyBorder="1">
      <alignment vertical="center"/>
    </xf>
    <xf numFmtId="164" fontId="0" fillId="0" borderId="0" xfId="1" applyFont="1" applyFill="1" applyBorder="1">
      <alignment horizontal="right" vertical="center"/>
    </xf>
    <xf numFmtId="166" fontId="0" fillId="0" borderId="0" xfId="0" applyNumberFormat="1" applyFont="1" applyFill="1" applyBorder="1">
      <alignment vertical="center"/>
    </xf>
    <xf numFmtId="0" fontId="3" fillId="7" borderId="0" xfId="2" applyFill="1">
      <alignment wrapText="1"/>
    </xf>
    <xf numFmtId="0" fontId="7" fillId="7" borderId="0" xfId="2" applyFont="1" applyFill="1" applyBorder="1">
      <alignment wrapText="1"/>
    </xf>
    <xf numFmtId="0" fontId="7" fillId="7" borderId="0" xfId="2" applyNumberFormat="1" applyFont="1" applyFill="1" applyBorder="1">
      <alignment wrapText="1"/>
    </xf>
    <xf numFmtId="164" fontId="0" fillId="0" borderId="0" xfId="1" applyFont="1" applyFill="1">
      <alignment horizontal="right" vertical="center"/>
    </xf>
    <xf numFmtId="166" fontId="0" fillId="0" borderId="0" xfId="0" applyNumberFormat="1">
      <alignment vertical="center"/>
    </xf>
    <xf numFmtId="165" fontId="0" fillId="0" borderId="0" xfId="7" applyFont="1" applyFill="1" applyBorder="1" applyAlignment="1">
      <alignment vertical="center"/>
    </xf>
    <xf numFmtId="165" fontId="0" fillId="0" borderId="0" xfId="7" applyFont="1" applyAlignment="1">
      <alignment vertical="center"/>
    </xf>
    <xf numFmtId="0" fontId="8" fillId="0" borderId="0" xfId="0" applyFont="1">
      <alignment vertical="center"/>
    </xf>
    <xf numFmtId="164" fontId="0" fillId="0" borderId="0" xfId="0" applyNumberFormat="1">
      <alignment vertical="center"/>
    </xf>
  </cellXfs>
  <cellStyles count="8">
    <cellStyle name="Charts Background" xfId="5"/>
    <cellStyle name="Currency" xfId="1" builtinId="4" customBuiltin="1"/>
    <cellStyle name="Normal" xfId="0" builtinId="0" customBuiltin="1"/>
    <cellStyle name="Percent" xfId="7" builtinId="5" customBuiltin="1"/>
    <cellStyle name="Table Header" xfId="2"/>
    <cellStyle name="Title" xfId="3" builtinId="15" customBuiltin="1"/>
    <cellStyle name="Top Rule" xfId="4"/>
    <cellStyle name="TotalHighlight" xfId="6"/>
  </cellStyles>
  <dxfs count="17">
    <dxf>
      <font>
        <b val="0"/>
        <i val="0"/>
        <strike val="0"/>
        <condense val="0"/>
        <extend val="0"/>
        <outline val="0"/>
        <shadow val="0"/>
        <u val="none"/>
        <vertAlign val="baseline"/>
        <sz val="10"/>
        <color theme="3"/>
        <name val="Segoe UI Light"/>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theme="3"/>
        <name val="Segoe UI Light"/>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theme="3"/>
        <name val="Segoe UI Light"/>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theme="3"/>
        <name val="Segoe UI Light"/>
        <scheme val="minor"/>
      </font>
      <fill>
        <patternFill patternType="none">
          <fgColor indexed="64"/>
          <bgColor indexed="65"/>
        </patternFill>
      </fill>
      <border diagonalUp="0" diagonalDown="0" outline="0">
        <left/>
        <right/>
        <top/>
        <bottom/>
      </border>
    </dxf>
    <dxf>
      <numFmt numFmtId="164" formatCode="&quot;$&quot;#,##0.00_);\-&quot;$&quot;#,##0.00_)"/>
    </dxf>
    <dxf>
      <font>
        <b val="0"/>
        <i val="0"/>
        <strike val="0"/>
        <condense val="0"/>
        <extend val="0"/>
        <outline val="0"/>
        <shadow val="0"/>
        <u val="none"/>
        <vertAlign val="baseline"/>
        <sz val="10"/>
        <color theme="3"/>
        <name val="Segoe UI Light"/>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theme="3"/>
        <name val="Segoe UI Light"/>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theme="3"/>
        <name val="Segoe UI Light"/>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theme="3"/>
        <name val="Segoe UI Light"/>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theme="3"/>
        <name val="Segoe UI Light"/>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theme="3"/>
        <name val="Segoe UI Light"/>
        <scheme val="minor"/>
      </font>
      <fill>
        <patternFill patternType="none">
          <fgColor indexed="64"/>
          <bgColor indexed="65"/>
        </patternFill>
      </fill>
      <border diagonalUp="0" diagonalDown="0" outline="0">
        <left/>
        <right/>
        <top/>
        <bottom/>
      </border>
    </dxf>
    <dxf>
      <font>
        <strike val="0"/>
        <outline val="0"/>
        <shadow val="0"/>
        <u val="none"/>
        <vertAlign val="baseline"/>
        <sz val="10"/>
        <name val="Segoe UI Light"/>
        <scheme val="minor"/>
      </font>
    </dxf>
    <dxf>
      <font>
        <strike val="0"/>
        <outline val="0"/>
        <shadow val="0"/>
        <u val="none"/>
        <vertAlign val="baseline"/>
        <sz val="12"/>
        <color theme="0"/>
        <name val="Segoe UI"/>
        <scheme val="major"/>
      </font>
      <fill>
        <patternFill>
          <fgColor indexed="64"/>
          <bgColor theme="3" tint="0.59999389629810485"/>
        </patternFill>
      </fill>
    </dxf>
    <dxf>
      <fill>
        <patternFill>
          <bgColor theme="7"/>
        </patternFill>
      </fill>
    </dxf>
    <dxf>
      <font>
        <b/>
        <i val="0"/>
        <color theme="3"/>
      </font>
      <fill>
        <patternFill>
          <bgColor theme="0" tint="-4.9989318521683403E-2"/>
        </patternFill>
      </fill>
      <border diagonalUp="0" diagonalDown="0">
        <left/>
        <right/>
        <top/>
        <bottom style="thick">
          <color theme="7"/>
        </bottom>
        <vertical/>
        <horizontal/>
      </border>
    </dxf>
    <dxf>
      <font>
        <color theme="0"/>
      </font>
      <fill>
        <patternFill>
          <bgColor theme="3" tint="0.59996337778862885"/>
        </patternFill>
      </fill>
      <border diagonalUp="0" diagonalDown="0">
        <left/>
        <right/>
        <top/>
        <bottom/>
        <vertical/>
        <horizontal/>
      </border>
    </dxf>
    <dxf>
      <border>
        <vertical style="thin">
          <color theme="3" tint="0.79998168889431442"/>
        </vertical>
      </border>
    </dxf>
  </dxfs>
  <tableStyles count="1" defaultTableStyle="Bing Portfolio" defaultPivotStyle="PivotStyleLight16">
    <tableStyle name="Bing Portfolio" pivot="0" count="3">
      <tableStyleElement type="wholeTable" dxfId="16"/>
      <tableStyleElement type="headerRow" dxfId="15"/>
      <tableStyleElement type="totalRow"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theme" Target="theme/theme1.xml" Id="rId3" /><Relationship Type="http://schemas.openxmlformats.org/officeDocument/2006/relationships/customXml" Target="../customXml/item1.xml" Id="rId7" /><Relationship Type="http://schemas.openxmlformats.org/officeDocument/2006/relationships/worksheet" Target="worksheets/sheet2.xml" Id="rId2" /><Relationship Type="http://schemas.openxmlformats.org/officeDocument/2006/relationships/worksheet" Target="worksheets/sheet1.xml" Id="rId1" /><Relationship Type="http://schemas.openxmlformats.org/officeDocument/2006/relationships/calcChain" Target="calcChain.xml" Id="rId6" /><Relationship Type="http://schemas.openxmlformats.org/officeDocument/2006/relationships/sharedStrings" Target="sharedStrings.xml" Id="rId5" /><Relationship Type="http://schemas.openxmlformats.org/officeDocument/2006/relationships/styles" Target="styles.xml" Id="rId4" /></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3.9930555555555552E-2"/>
          <c:y val="0"/>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endParaRPr lang="en-US"/>
        </a:p>
      </c:txPr>
    </c:title>
    <c:autoTitleDeleted val="0"/>
    <c:plotArea>
      <c:layout/>
      <c:pieChart>
        <c:varyColors val="1"/>
        <c:ser>
          <c:idx val="0"/>
          <c:order val="0"/>
          <c:tx>
            <c:strRef>
              <c:f>calculations!$C$6</c:f>
              <c:strCache>
                <c:ptCount val="1"/>
                <c:pt idx="0">
                  <c:v>Portfolio Sectors</c:v>
                </c:pt>
              </c:strCache>
            </c:strRef>
          </c:tx>
          <c:spPr>
            <a:ln w="12700"/>
          </c:spPr>
          <c:dPt>
            <c:idx val="0"/>
            <c:bubble3D val="0"/>
            <c:spPr>
              <a:solidFill>
                <a:schemeClr val="accent1"/>
              </a:solidFill>
              <a:ln w="12700">
                <a:solidFill>
                  <a:schemeClr val="lt1"/>
                </a:solidFill>
              </a:ln>
              <a:effectLst/>
            </c:spPr>
          </c:dPt>
          <c:dPt>
            <c:idx val="1"/>
            <c:bubble3D val="0"/>
            <c:spPr>
              <a:solidFill>
                <a:schemeClr val="accent2"/>
              </a:solidFill>
              <a:ln w="12700">
                <a:solidFill>
                  <a:schemeClr val="lt1"/>
                </a:solidFill>
              </a:ln>
              <a:effectLst/>
            </c:spPr>
          </c:dPt>
          <c:dPt>
            <c:idx val="2"/>
            <c:bubble3D val="0"/>
            <c:spPr>
              <a:solidFill>
                <a:schemeClr val="accent3"/>
              </a:solidFill>
              <a:ln w="12700">
                <a:solidFill>
                  <a:schemeClr val="lt1"/>
                </a:solidFill>
              </a:ln>
              <a:effectLst/>
            </c:spPr>
          </c:dPt>
          <c:dPt>
            <c:idx val="3"/>
            <c:bubble3D val="0"/>
            <c:spPr>
              <a:solidFill>
                <a:schemeClr val="accent4"/>
              </a:solidFill>
              <a:ln w="12700">
                <a:solidFill>
                  <a:schemeClr val="lt1"/>
                </a:solidFill>
              </a:ln>
              <a:effectLst/>
            </c:spPr>
          </c:dPt>
          <c:dPt>
            <c:idx val="4"/>
            <c:bubble3D val="0"/>
            <c:spPr>
              <a:solidFill>
                <a:schemeClr val="accent5"/>
              </a:solidFill>
              <a:ln w="12700">
                <a:solidFill>
                  <a:schemeClr val="lt1"/>
                </a:solidFill>
              </a:ln>
              <a:effectLst/>
            </c:spPr>
          </c:dPt>
          <c:dPt>
            <c:idx val="5"/>
            <c:bubble3D val="0"/>
            <c:spPr>
              <a:solidFill>
                <a:schemeClr val="accent6"/>
              </a:solidFill>
              <a:ln w="12700">
                <a:solidFill>
                  <a:schemeClr val="lt1"/>
                </a:solidFill>
              </a:ln>
              <a:effectLst/>
            </c:spPr>
          </c:dPt>
          <c:dPt>
            <c:idx val="6"/>
            <c:bubble3D val="0"/>
            <c:spPr>
              <a:solidFill>
                <a:schemeClr val="accent1">
                  <a:lumMod val="60000"/>
                </a:schemeClr>
              </a:solidFill>
              <a:ln w="12700">
                <a:solidFill>
                  <a:schemeClr val="lt1"/>
                </a:solidFill>
              </a:ln>
              <a:effectLst/>
            </c:spPr>
          </c:dPt>
          <c:cat>
            <c:strRef>
              <c:f>[0]!ChartOptionCategoreis</c:f>
              <c:strCache>
                <c:ptCount val="7"/>
                <c:pt idx="0">
                  <c:v>Technology</c:v>
                </c:pt>
                <c:pt idx="1">
                  <c:v>Energy</c:v>
                </c:pt>
                <c:pt idx="2">
                  <c:v>Consumer Cyclical</c:v>
                </c:pt>
                <c:pt idx="3">
                  <c:v>Industrials</c:v>
                </c:pt>
                <c:pt idx="4">
                  <c:v>Consumer Defensive</c:v>
                </c:pt>
                <c:pt idx="5">
                  <c:v>Financial Services</c:v>
                </c:pt>
                <c:pt idx="6">
                  <c:v>Other</c:v>
                </c:pt>
              </c:strCache>
            </c:strRef>
          </c:cat>
          <c:val>
            <c:numRef>
              <c:f>[0]!ChartOptionValues</c:f>
              <c:numCache>
                <c:formatCode>"$"#,##0.00_);\-"$"#,##0.00_)</c:formatCode>
                <c:ptCount val="7"/>
                <c:pt idx="0">
                  <c:v>5212.3499999999995</c:v>
                </c:pt>
                <c:pt idx="1">
                  <c:v>8667</c:v>
                </c:pt>
                <c:pt idx="2">
                  <c:v>9084.41</c:v>
                </c:pt>
                <c:pt idx="3">
                  <c:v>4780.84</c:v>
                </c:pt>
                <c:pt idx="4">
                  <c:v>6438</c:v>
                </c:pt>
                <c:pt idx="5">
                  <c:v>15471.5</c:v>
                </c:pt>
                <c:pt idx="6">
                  <c:v>0</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4467519685039365"/>
          <c:y val="0.32972841936424613"/>
          <c:w val="0.3275470253718285"/>
          <c:h val="0.49583989501312337"/>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bg1"/>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7222222222222224E-2"/>
          <c:y val="0"/>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endParaRPr lang="en-US"/>
        </a:p>
      </c:txPr>
    </c:title>
    <c:autoTitleDeleted val="0"/>
    <c:plotArea>
      <c:layout/>
      <c:pieChart>
        <c:varyColors val="1"/>
        <c:ser>
          <c:idx val="0"/>
          <c:order val="0"/>
          <c:tx>
            <c:v>Types</c:v>
          </c:tx>
          <c:spPr>
            <a:ln w="12700"/>
          </c:spPr>
          <c:dPt>
            <c:idx val="0"/>
            <c:bubble3D val="0"/>
            <c:spPr>
              <a:solidFill>
                <a:schemeClr val="accent1"/>
              </a:solidFill>
              <a:ln w="12700">
                <a:solidFill>
                  <a:schemeClr val="lt1"/>
                </a:solidFill>
              </a:ln>
              <a:effectLst/>
            </c:spPr>
          </c:dPt>
          <c:dPt>
            <c:idx val="1"/>
            <c:bubble3D val="0"/>
            <c:spPr>
              <a:solidFill>
                <a:schemeClr val="accent2"/>
              </a:solidFill>
              <a:ln w="12700">
                <a:solidFill>
                  <a:schemeClr val="lt1"/>
                </a:solidFill>
              </a:ln>
              <a:effectLst/>
            </c:spPr>
          </c:dPt>
          <c:cat>
            <c:strRef>
              <c:f>[0]!Types</c:f>
              <c:strCache>
                <c:ptCount val="2"/>
                <c:pt idx="0">
                  <c:v>Equity</c:v>
                </c:pt>
                <c:pt idx="1">
                  <c:v>Fund</c:v>
                </c:pt>
              </c:strCache>
            </c:strRef>
          </c:cat>
          <c:val>
            <c:numRef>
              <c:f>[0]!TypeValues</c:f>
              <c:numCache>
                <c:formatCode>"$"#,##0.00_);\-"$"#,##0.00_)</c:formatCode>
                <c:ptCount val="2"/>
                <c:pt idx="0">
                  <c:v>43216.100000000006</c:v>
                </c:pt>
                <c:pt idx="1">
                  <c:v>6438</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1464184164479438"/>
          <c:y val="0.45230169145523474"/>
          <c:w val="0.13792732939632546"/>
          <c:h val="0.24791994750656168"/>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bg1"/>
              </a:solidFill>
              <a:latin typeface="+mj-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7.6534579953605922E-2"/>
          <c:y val="0"/>
        </c:manualLayout>
      </c:layout>
      <c:overlay val="0"/>
      <c:spPr>
        <a:noFill/>
        <a:ln>
          <a:noFill/>
        </a:ln>
        <a:effectLst/>
      </c:spPr>
      <c:txPr>
        <a:bodyPr rot="0" spcFirstLastPara="1" vertOverflow="ellipsis" vert="horz" wrap="square" anchor="ctr" anchorCtr="1"/>
        <a:lstStyle/>
        <a:p>
          <a:pPr>
            <a:defRPr sz="1800" b="0" i="0" u="none" strike="noStrike" kern="1200" cap="none" spc="0" normalizeH="0" baseline="0">
              <a:solidFill>
                <a:schemeClr val="bg1"/>
              </a:solidFill>
              <a:latin typeface="+mn-lt"/>
              <a:ea typeface="+mj-ea"/>
              <a:cs typeface="+mj-cs"/>
            </a:defRPr>
          </a:pPr>
          <a:endParaRPr lang="en-US"/>
        </a:p>
      </c:txPr>
    </c:title>
    <c:autoTitleDeleted val="0"/>
    <c:plotArea>
      <c:layout/>
      <c:barChart>
        <c:barDir val="bar"/>
        <c:grouping val="clustered"/>
        <c:varyColors val="0"/>
        <c:ser>
          <c:idx val="0"/>
          <c:order val="0"/>
          <c:tx>
            <c:strRef>
              <c:f>calculations!$H$54</c:f>
              <c:strCache>
                <c:ptCount val="1"/>
                <c:pt idx="0">
                  <c:v>Top 10 of 12 Positions</c:v>
                </c:pt>
              </c:strCache>
            </c:strRef>
          </c:tx>
          <c:spPr>
            <a:solidFill>
              <a:schemeClr val="accent1"/>
            </a:solidFill>
            <a:ln>
              <a:noFill/>
            </a:ln>
            <a:effectLst/>
          </c:spPr>
          <c:invertIfNegative val="0"/>
          <c:cat>
            <c:strRef>
              <c:f>[0]!Stocks</c:f>
              <c:strCache>
                <c:ptCount val="10"/>
                <c:pt idx="0">
                  <c:v>V</c:v>
                </c:pt>
                <c:pt idx="1">
                  <c:v>LNCO</c:v>
                </c:pt>
                <c:pt idx="2">
                  <c:v>ADRD</c:v>
                </c:pt>
                <c:pt idx="3">
                  <c:v>SBUX</c:v>
                </c:pt>
                <c:pt idx="4">
                  <c:v>MSFT</c:v>
                </c:pt>
                <c:pt idx="5">
                  <c:v>R</c:v>
                </c:pt>
                <c:pt idx="6">
                  <c:v>F</c:v>
                </c:pt>
                <c:pt idx="7">
                  <c:v>JACK</c:v>
                </c:pt>
                <c:pt idx="8">
                  <c:v>BGSC</c:v>
                </c:pt>
                <c:pt idx="9">
                  <c:v>GE</c:v>
                </c:pt>
              </c:strCache>
            </c:strRef>
          </c:cat>
          <c:val>
            <c:numRef>
              <c:f>[0]!StockValues</c:f>
              <c:numCache>
                <c:formatCode>"$"#,##0_);\("$"#,##0\)</c:formatCode>
                <c:ptCount val="10"/>
                <c:pt idx="0">
                  <c:v>15471.5</c:v>
                </c:pt>
                <c:pt idx="1">
                  <c:v>8667</c:v>
                </c:pt>
                <c:pt idx="2">
                  <c:v>6438</c:v>
                </c:pt>
                <c:pt idx="3">
                  <c:v>5570</c:v>
                </c:pt>
                <c:pt idx="4">
                  <c:v>5038.8499999999995</c:v>
                </c:pt>
                <c:pt idx="5">
                  <c:v>2501.1</c:v>
                </c:pt>
                <c:pt idx="6">
                  <c:v>1797.75</c:v>
                </c:pt>
                <c:pt idx="7">
                  <c:v>1716.6599999999999</c:v>
                </c:pt>
                <c:pt idx="8">
                  <c:v>854.83999999999992</c:v>
                </c:pt>
                <c:pt idx="9">
                  <c:v>837.72</c:v>
                </c:pt>
              </c:numCache>
            </c:numRef>
          </c:val>
        </c:ser>
        <c:dLbls>
          <c:showLegendKey val="0"/>
          <c:showVal val="0"/>
          <c:showCatName val="0"/>
          <c:showSerName val="0"/>
          <c:showPercent val="0"/>
          <c:showBubbleSize val="0"/>
        </c:dLbls>
        <c:gapWidth val="247"/>
        <c:axId val="289437416"/>
        <c:axId val="289437024"/>
      </c:barChart>
      <c:catAx>
        <c:axId val="289437416"/>
        <c:scaling>
          <c:orientation val="maxMin"/>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bg1"/>
                </a:solidFill>
                <a:latin typeface="+mj-lt"/>
                <a:ea typeface="+mn-ea"/>
                <a:cs typeface="+mn-cs"/>
              </a:defRPr>
            </a:pPr>
            <a:endParaRPr lang="en-US"/>
          </a:p>
        </c:txPr>
        <c:crossAx val="289437024"/>
        <c:crosses val="autoZero"/>
        <c:auto val="1"/>
        <c:lblAlgn val="ctr"/>
        <c:lblOffset val="100"/>
        <c:noMultiLvlLbl val="0"/>
      </c:catAx>
      <c:valAx>
        <c:axId val="289437024"/>
        <c:scaling>
          <c:orientation val="minMax"/>
        </c:scaling>
        <c:delete val="0"/>
        <c:axPos val="t"/>
        <c:majorGridlines>
          <c:spPr>
            <a:ln w="9525" cap="flat" cmpd="sng" algn="ctr">
              <a:solidFill>
                <a:schemeClr val="dk1">
                  <a:lumMod val="15000"/>
                  <a:lumOff val="85000"/>
                </a:schemeClr>
              </a:solidFill>
              <a:round/>
            </a:ln>
            <a:effectLst/>
          </c:spPr>
        </c:majorGridlines>
        <c:numFmt formatCode="&quot;$&quot;#,##0_);\(&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j-lt"/>
                <a:ea typeface="+mn-ea"/>
                <a:cs typeface="+mn-cs"/>
              </a:defRPr>
            </a:pPr>
            <a:endParaRPr lang="en-US"/>
          </a:p>
        </c:txPr>
        <c:crossAx val="289437416"/>
        <c:crosses val="autoZero"/>
        <c:crossBetween val="between"/>
      </c:valAx>
      <c:spPr>
        <a:solidFill>
          <a:schemeClr val="tx2">
            <a:lumMod val="75000"/>
          </a:schemeClr>
        </a:solid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4762</xdr:colOff>
      <xdr:row>2</xdr:row>
      <xdr:rowOff>133350</xdr:rowOff>
    </xdr:from>
    <xdr:to>
      <xdr:col>3</xdr:col>
      <xdr:colOff>427037</xdr:colOff>
      <xdr:row>13</xdr:row>
      <xdr:rowOff>152400</xdr:rowOff>
    </xdr:to>
    <xdr:graphicFrame macro="">
      <xdr:nvGraphicFramePr>
        <xdr:cNvPr id="3" name="Chart 2" title="Category Plo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676010</xdr:colOff>
      <xdr:row>2</xdr:row>
      <xdr:rowOff>133350</xdr:rowOff>
    </xdr:from>
    <xdr:to>
      <xdr:col>8</xdr:col>
      <xdr:colOff>87577</xdr:colOff>
      <xdr:row>13</xdr:row>
      <xdr:rowOff>152400</xdr:rowOff>
    </xdr:to>
    <xdr:graphicFrame macro="">
      <xdr:nvGraphicFramePr>
        <xdr:cNvPr id="5" name="Chart 4" title="Type Plo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336550</xdr:colOff>
      <xdr:row>2</xdr:row>
      <xdr:rowOff>133350</xdr:rowOff>
    </xdr:from>
    <xdr:to>
      <xdr:col>11</xdr:col>
      <xdr:colOff>730249</xdr:colOff>
      <xdr:row>13</xdr:row>
      <xdr:rowOff>152400</xdr:rowOff>
    </xdr:to>
    <xdr:graphicFrame macro="">
      <xdr:nvGraphicFramePr>
        <xdr:cNvPr id="2" name="Chart 1" title="Largest Positions Plo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539751</xdr:colOff>
      <xdr:row>17</xdr:row>
      <xdr:rowOff>222250</xdr:rowOff>
    </xdr:from>
    <xdr:to>
      <xdr:col>2</xdr:col>
      <xdr:colOff>1799168</xdr:colOff>
      <xdr:row>22</xdr:row>
      <xdr:rowOff>24342</xdr:rowOff>
    </xdr:to>
    <xdr:sp macro="" textlink="">
      <xdr:nvSpPr>
        <xdr:cNvPr id="6" name="Rectangular Callout 5" descr="Select the Symbol you want to remove. Then, on the Home tab, in the Cells group, click Delete, then click Delete Table Rows.&#10;" title="Need to remove a stock?"/>
        <xdr:cNvSpPr/>
      </xdr:nvSpPr>
      <xdr:spPr>
        <a:xfrm>
          <a:off x="804334" y="4878917"/>
          <a:ext cx="2010834" cy="1019175"/>
        </a:xfrm>
        <a:prstGeom prst="wedgeRectCallout">
          <a:avLst>
            <a:gd name="adj1" fmla="val -60301"/>
            <a:gd name="adj2" fmla="val -26064"/>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9728" rtlCol="0" anchor="ctr"/>
        <a:lstStyle/>
        <a:p>
          <a:pPr algn="l">
            <a:spcBef>
              <a:spcPts val="800"/>
            </a:spcBef>
          </a:pPr>
          <a:r>
            <a:rPr lang="en-US" sz="1000" b="0">
              <a:latin typeface="+mj-lt"/>
            </a:rPr>
            <a:t>Need to remove a stock?</a:t>
          </a:r>
        </a:p>
        <a:p>
          <a:pPr algn="l">
            <a:spcBef>
              <a:spcPts val="400"/>
            </a:spcBef>
          </a:pPr>
          <a:r>
            <a:rPr lang="en-US" sz="900" spc="30" baseline="0">
              <a:latin typeface="+mj-lt"/>
            </a:rPr>
            <a:t>Select the Symbol you want to remove. Then, on the </a:t>
          </a:r>
          <a:r>
            <a:rPr lang="en-US" sz="900" b="1" spc="30" baseline="0">
              <a:latin typeface="+mj-lt"/>
            </a:rPr>
            <a:t>Home</a:t>
          </a:r>
          <a:r>
            <a:rPr lang="en-US" sz="900" spc="30" baseline="0">
              <a:latin typeface="+mj-lt"/>
            </a:rPr>
            <a:t> tab, in the </a:t>
          </a:r>
          <a:r>
            <a:rPr lang="en-US" sz="900" b="1" spc="30" baseline="0">
              <a:latin typeface="+mj-lt"/>
            </a:rPr>
            <a:t>Cells</a:t>
          </a:r>
          <a:r>
            <a:rPr lang="en-US" sz="900" spc="30" baseline="0">
              <a:latin typeface="+mj-lt"/>
            </a:rPr>
            <a:t> group, click </a:t>
          </a:r>
          <a:r>
            <a:rPr lang="en-US" sz="900" b="1" spc="30" baseline="0">
              <a:latin typeface="+mj-lt"/>
            </a:rPr>
            <a:t>Delete</a:t>
          </a:r>
          <a:r>
            <a:rPr lang="en-US" sz="900" spc="30" baseline="0">
              <a:latin typeface="+mj-lt"/>
            </a:rPr>
            <a:t>, then click </a:t>
          </a:r>
          <a:r>
            <a:rPr lang="en-US" sz="900" b="1" spc="30" baseline="0">
              <a:latin typeface="+mj-lt"/>
            </a:rPr>
            <a:t>Delete Table Rows</a:t>
          </a:r>
          <a:r>
            <a:rPr lang="en-US" sz="900" spc="30" baseline="0">
              <a:latin typeface="+mj-lt"/>
            </a:rPr>
            <a:t>.</a:t>
          </a:r>
        </a:p>
      </xdr:txBody>
    </xdr:sp>
    <xdr:clientData fPrintsWithSheet="0"/>
  </xdr:twoCellAnchor>
</xdr:wsDr>
</file>

<file path=xl/tables/table1.xml><?xml version="1.0" encoding="utf-8"?>
<table xmlns="http://schemas.openxmlformats.org/spreadsheetml/2006/main" id="1" name="Table1" displayName="Table1" ref="B16:L29" totalsRowCount="1" headerRowDxfId="12" totalsRowDxfId="11" headerRowCellStyle="Table Header">
  <autoFilter ref="B16:L28"/>
  <tableColumns count="11">
    <tableColumn id="1" name="Symbol" totalsRowLabel="TOTAL" totalsRowDxfId="10"/>
    <tableColumn id="2" name="Company Name" totalsRowDxfId="9"/>
    <tableColumn id="3" name="Current Price" totalsRowDxfId="8" dataCellStyle="Currency"/>
    <tableColumn id="4" name="Change in Price" totalsRowDxfId="7" dataCellStyle="Currency"/>
    <tableColumn id="5" name="% Change in Price" totalsRowDxfId="6" dataCellStyle="Percent"/>
    <tableColumn id="6" name="Quantity" totalsRowDxfId="5"/>
    <tableColumn id="7" name="Total" totalsRowFunction="sum" totalsRowDxfId="4" dataCellStyle="Currency">
      <calculatedColumnFormula>Table1[[#This Row],[Quantity]]*Table1[[#This Row],[Current Price]]</calculatedColumnFormula>
    </tableColumn>
    <tableColumn id="8" name="Sector" totalsRowDxfId="3"/>
    <tableColumn id="9" name="Industry" totalsRowDxfId="2"/>
    <tableColumn id="10" name="Type" totalsRowDxfId="1"/>
    <tableColumn id="11" name="Open" totalsRowDxfId="0" dataCellStyle="Currency"/>
  </tableColumns>
  <tableStyleInfo name="Bing Portfolio" showFirstColumn="0" showLastColumn="0" showRowStripes="0" showColumnStripes="0"/>
  <extLst>
    <ext xmlns:x14="http://schemas.microsoft.com/office/spreadsheetml/2009/9/main" uri="{504A1905-F514-4f6f-8877-14C23A59335A}">
      <x14:table altText="Table1" altTextSummary="This table contains your portfolio and is populated by the Office App at left. HOWEVER, the Quantity column is filled in by you, directly._x000d__x000a__x000d__x000a_You can also type in a symbol directly in the first column of this table and then refresh the table from the Office App on the left.  This will retrieve the symbols current values while updating the rest of the table."/>
    </ext>
  </extLst>
</table>
</file>

<file path=xl/theme/theme1.xml><?xml version="1.0" encoding="utf-8"?>
<a:theme xmlns:a="http://schemas.openxmlformats.org/drawingml/2006/main" name="Office Theme">
  <a:themeElements>
    <a:clrScheme name="Bing Portfolio with Agave">
      <a:dk1>
        <a:sysClr val="windowText" lastClr="000000"/>
      </a:dk1>
      <a:lt1>
        <a:sysClr val="window" lastClr="FFFFFF"/>
      </a:lt1>
      <a:dk2>
        <a:srgbClr val="58595B"/>
      </a:dk2>
      <a:lt2>
        <a:srgbClr val="9F9F9E"/>
      </a:lt2>
      <a:accent1>
        <a:srgbClr val="286ED7"/>
      </a:accent1>
      <a:accent2>
        <a:srgbClr val="E85A11"/>
      </a:accent2>
      <a:accent3>
        <a:srgbClr val="9F9F9E"/>
      </a:accent3>
      <a:accent4>
        <a:srgbClr val="F8A400"/>
      </a:accent4>
      <a:accent5>
        <a:srgbClr val="35A1B2"/>
      </a:accent5>
      <a:accent6>
        <a:srgbClr val="5FB940"/>
      </a:accent6>
      <a:hlink>
        <a:srgbClr val="286ED7"/>
      </a:hlink>
      <a:folHlink>
        <a:srgbClr val="A54399"/>
      </a:folHlink>
    </a:clrScheme>
    <a:fontScheme name="Bing Portfolio">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left" visibility="1" width="350" row="1" locked="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749A54A-CC0E-4DAC-9846-57334DB86249}">
  <we:reference id="wa103795935" version="1.1.0.0" store="en-US" storeType="OMEX"/>
  <we:alternateReferences/>
  <we:properties/>
  <we:bindings>
    <we:binding id="stocks" type="table" appref="{3B431CEF-B293-408A-B3E2-63C67846E20C}"/>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pageSetUpPr autoPageBreaks="0" fitToPage="1"/>
  </sheetPr>
  <dimension ref="B1:L29"/>
  <sheetViews>
    <sheetView showGridLines="0" tabSelected="1" zoomScale="90" zoomScaleNormal="90" workbookViewId="0"/>
  </sheetViews>
  <sheetFormatPr defaultColWidth="12.7109375" defaultRowHeight="19.5" customHeight="1" x14ac:dyDescent="0.25"/>
  <cols>
    <col min="1" max="1" width="4" customWidth="1"/>
    <col min="2" max="2" width="11.28515625" customWidth="1"/>
    <col min="3" max="3" width="37.28515625" customWidth="1"/>
    <col min="4" max="6" width="11.7109375" customWidth="1"/>
    <col min="7" max="7" width="12.85546875" customWidth="1"/>
    <col min="8" max="8" width="15.7109375" customWidth="1"/>
    <col min="9" max="9" width="23.5703125" customWidth="1"/>
    <col min="10" max="10" width="27.7109375" customWidth="1"/>
    <col min="11" max="11" width="12.5703125" customWidth="1"/>
  </cols>
  <sheetData>
    <row r="1" spans="2:12" s="6" customFormat="1" ht="12" customHeight="1" x14ac:dyDescent="0.25"/>
    <row r="2" spans="2:12" s="7" customFormat="1" ht="51" customHeight="1" x14ac:dyDescent="0.25">
      <c r="B2" s="7" t="s">
        <v>42</v>
      </c>
      <c r="D2" s="9" t="str">
        <f>TotalTitle</f>
        <v xml:space="preserve">Total Value of Portfolio: $49,654.10 </v>
      </c>
    </row>
    <row r="3" spans="2:12" s="8" customFormat="1" ht="19.5" customHeight="1" x14ac:dyDescent="0.25"/>
    <row r="4" spans="2:12" s="8" customFormat="1" ht="19.5" customHeight="1" x14ac:dyDescent="0.25"/>
    <row r="5" spans="2:12" s="8" customFormat="1" ht="19.5" customHeight="1" x14ac:dyDescent="0.25"/>
    <row r="6" spans="2:12" s="8" customFormat="1" ht="19.5" customHeight="1" x14ac:dyDescent="0.25"/>
    <row r="7" spans="2:12" s="8" customFormat="1" ht="19.5" customHeight="1" x14ac:dyDescent="0.25"/>
    <row r="8" spans="2:12" s="8" customFormat="1" ht="19.5" customHeight="1" x14ac:dyDescent="0.25"/>
    <row r="9" spans="2:12" s="8" customFormat="1" ht="19.5" customHeight="1" x14ac:dyDescent="0.25"/>
    <row r="10" spans="2:12" s="8" customFormat="1" ht="19.5" customHeight="1" x14ac:dyDescent="0.25"/>
    <row r="11" spans="2:12" s="8" customFormat="1" ht="19.5" customHeight="1" x14ac:dyDescent="0.25"/>
    <row r="12" spans="2:12" s="8" customFormat="1" ht="19.5" customHeight="1" x14ac:dyDescent="0.25"/>
    <row r="13" spans="2:12" s="8" customFormat="1" ht="19.5" customHeight="1" x14ac:dyDescent="0.25"/>
    <row r="14" spans="2:12" s="8" customFormat="1" ht="19.5" customHeight="1" x14ac:dyDescent="0.25"/>
    <row r="15" spans="2:12" s="8" customFormat="1" ht="19.5" customHeight="1" x14ac:dyDescent="0.25"/>
    <row r="16" spans="2:12" s="14" customFormat="1" ht="36" customHeight="1" x14ac:dyDescent="0.3">
      <c r="B16" s="15" t="s">
        <v>0</v>
      </c>
      <c r="C16" s="15" t="s">
        <v>1</v>
      </c>
      <c r="D16" s="15" t="s">
        <v>2</v>
      </c>
      <c r="E16" s="15" t="s">
        <v>49</v>
      </c>
      <c r="F16" s="15" t="s">
        <v>3</v>
      </c>
      <c r="G16" s="15" t="s">
        <v>4</v>
      </c>
      <c r="H16" s="15" t="s">
        <v>5</v>
      </c>
      <c r="I16" s="16" t="s">
        <v>9</v>
      </c>
      <c r="J16" s="15" t="s">
        <v>13</v>
      </c>
      <c r="K16" s="15" t="s">
        <v>17</v>
      </c>
      <c r="L16" s="15" t="s">
        <v>43</v>
      </c>
    </row>
    <row r="17" spans="2:12" ht="19.5" customHeight="1" x14ac:dyDescent="0.25">
      <c r="B17" s="10" t="s">
        <v>25</v>
      </c>
      <c r="C17" s="11" t="s">
        <v>26</v>
      </c>
      <c r="D17" s="12">
        <v>28.15</v>
      </c>
      <c r="E17" s="12">
        <v>0.2</v>
      </c>
      <c r="F17" s="19">
        <v>7.1999999999999998E-3</v>
      </c>
      <c r="G17" s="13">
        <v>179</v>
      </c>
      <c r="H17" s="12">
        <f>Table1[[#This Row],[Quantity]]*Table1[[#This Row],[Current Price]]</f>
        <v>5038.8499999999995</v>
      </c>
      <c r="I17" s="11" t="s">
        <v>27</v>
      </c>
      <c r="J17" s="11" t="s">
        <v>28</v>
      </c>
      <c r="K17" s="11" t="s">
        <v>18</v>
      </c>
      <c r="L17" s="12">
        <v>27.82</v>
      </c>
    </row>
    <row r="18" spans="2:12" ht="19.5" customHeight="1" x14ac:dyDescent="0.25">
      <c r="B18" s="10" t="s">
        <v>7</v>
      </c>
      <c r="C18" s="11" t="s">
        <v>8</v>
      </c>
      <c r="D18" s="12">
        <v>38.520000000000003</v>
      </c>
      <c r="E18" s="12">
        <v>-0.26</v>
      </c>
      <c r="F18" s="19">
        <v>-6.7000000000000002E-3</v>
      </c>
      <c r="G18" s="13">
        <v>225</v>
      </c>
      <c r="H18" s="12">
        <f>Table1[[#This Row],[Quantity]]*Table1[[#This Row],[Current Price]]</f>
        <v>8667</v>
      </c>
      <c r="I18" s="11" t="s">
        <v>12</v>
      </c>
      <c r="J18" s="11" t="s">
        <v>16</v>
      </c>
      <c r="K18" s="11" t="s">
        <v>18</v>
      </c>
      <c r="L18" s="12">
        <v>38.799999999999997</v>
      </c>
    </row>
    <row r="19" spans="2:12" ht="19.5" customHeight="1" x14ac:dyDescent="0.25">
      <c r="B19" s="10" t="s">
        <v>6</v>
      </c>
      <c r="C19" s="11" t="s">
        <v>50</v>
      </c>
      <c r="D19" s="12">
        <v>12.75</v>
      </c>
      <c r="E19" s="12">
        <v>0.14000000000000001</v>
      </c>
      <c r="F19" s="19">
        <v>1.11E-2</v>
      </c>
      <c r="G19" s="13">
        <v>141</v>
      </c>
      <c r="H19" s="12">
        <f>Table1[[#This Row],[Quantity]]*Table1[[#This Row],[Current Price]]</f>
        <v>1797.75</v>
      </c>
      <c r="I19" s="11" t="s">
        <v>11</v>
      </c>
      <c r="J19" s="11" t="s">
        <v>15</v>
      </c>
      <c r="K19" s="11" t="s">
        <v>18</v>
      </c>
      <c r="L19" s="12">
        <v>12.55</v>
      </c>
    </row>
    <row r="20" spans="2:12" ht="19.5" customHeight="1" x14ac:dyDescent="0.25">
      <c r="B20" s="10" t="s">
        <v>51</v>
      </c>
      <c r="C20" s="11" t="s">
        <v>52</v>
      </c>
      <c r="D20" s="12">
        <v>9.94</v>
      </c>
      <c r="E20" s="12">
        <v>-0.02</v>
      </c>
      <c r="F20" s="19">
        <v>-2E-3</v>
      </c>
      <c r="G20" s="13">
        <v>86</v>
      </c>
      <c r="H20" s="12">
        <f>Table1[[#This Row],[Quantity]]*Table1[[#This Row],[Current Price]]</f>
        <v>854.83999999999992</v>
      </c>
      <c r="I20" s="11" t="s">
        <v>30</v>
      </c>
      <c r="J20" s="11" t="s">
        <v>53</v>
      </c>
      <c r="K20" s="11" t="s">
        <v>18</v>
      </c>
      <c r="L20" s="12">
        <v>9.93</v>
      </c>
    </row>
    <row r="21" spans="2:12" ht="19.5" customHeight="1" x14ac:dyDescent="0.25">
      <c r="B21" s="10" t="s">
        <v>20</v>
      </c>
      <c r="C21" s="11" t="s">
        <v>41</v>
      </c>
      <c r="D21" s="12">
        <v>21.46</v>
      </c>
      <c r="E21" s="12">
        <v>0.08</v>
      </c>
      <c r="F21" s="19">
        <v>3.8999999999999998E-3</v>
      </c>
      <c r="G21" s="13">
        <v>300</v>
      </c>
      <c r="H21" s="12">
        <f>Table1[[#This Row],[Quantity]]*Table1[[#This Row],[Current Price]]</f>
        <v>6438</v>
      </c>
      <c r="I21" s="11" t="s">
        <v>10</v>
      </c>
      <c r="J21" s="11" t="s">
        <v>14</v>
      </c>
      <c r="K21" s="11" t="s">
        <v>19</v>
      </c>
      <c r="L21" s="12">
        <v>21.45</v>
      </c>
    </row>
    <row r="22" spans="2:12" ht="19.5" customHeight="1" x14ac:dyDescent="0.25">
      <c r="B22" s="10" t="s">
        <v>23</v>
      </c>
      <c r="C22" s="11" t="s">
        <v>54</v>
      </c>
      <c r="D22" s="12">
        <v>159.5</v>
      </c>
      <c r="E22" s="12">
        <v>1.42</v>
      </c>
      <c r="F22" s="19">
        <v>8.9999999999999993E-3</v>
      </c>
      <c r="G22" s="13">
        <v>97</v>
      </c>
      <c r="H22" s="12">
        <f>Table1[[#This Row],[Quantity]]*Table1[[#This Row],[Current Price]]</f>
        <v>15471.5</v>
      </c>
      <c r="I22" s="11" t="s">
        <v>21</v>
      </c>
      <c r="J22" s="11" t="s">
        <v>22</v>
      </c>
      <c r="K22" s="11" t="s">
        <v>18</v>
      </c>
      <c r="L22" s="12">
        <v>157.76</v>
      </c>
    </row>
    <row r="23" spans="2:12" ht="19.5" customHeight="1" x14ac:dyDescent="0.25">
      <c r="B23" s="10" t="s">
        <v>31</v>
      </c>
      <c r="C23" s="11" t="s">
        <v>55</v>
      </c>
      <c r="D23" s="12">
        <v>17.27</v>
      </c>
      <c r="E23" s="12">
        <v>0.7</v>
      </c>
      <c r="F23" s="19">
        <v>4.2200000000000001E-2</v>
      </c>
      <c r="G23" s="13">
        <v>34</v>
      </c>
      <c r="H23" s="12">
        <f>Table1[[#This Row],[Quantity]]*Table1[[#This Row],[Current Price]]</f>
        <v>587.17999999999995</v>
      </c>
      <c r="I23" s="11" t="s">
        <v>30</v>
      </c>
      <c r="J23" s="11" t="s">
        <v>32</v>
      </c>
      <c r="K23" s="11" t="s">
        <v>18</v>
      </c>
      <c r="L23" s="12">
        <v>16.47</v>
      </c>
    </row>
    <row r="24" spans="2:12" ht="19.5" customHeight="1" x14ac:dyDescent="0.25">
      <c r="B24" s="10" t="s">
        <v>33</v>
      </c>
      <c r="C24" s="11" t="s">
        <v>34</v>
      </c>
      <c r="D24" s="12">
        <v>55.58</v>
      </c>
      <c r="E24" s="12">
        <v>0.15</v>
      </c>
      <c r="F24" s="19">
        <v>2.7000000000000001E-3</v>
      </c>
      <c r="G24" s="13">
        <v>45</v>
      </c>
      <c r="H24" s="12">
        <f>Table1[[#This Row],[Quantity]]*Table1[[#This Row],[Current Price]]</f>
        <v>2501.1</v>
      </c>
      <c r="I24" s="11" t="s">
        <v>30</v>
      </c>
      <c r="J24" s="11" t="s">
        <v>35</v>
      </c>
      <c r="K24" s="11" t="s">
        <v>18</v>
      </c>
      <c r="L24" s="12">
        <v>55.15</v>
      </c>
    </row>
    <row r="25" spans="2:12" ht="19.5" customHeight="1" x14ac:dyDescent="0.25">
      <c r="B25" s="10" t="s">
        <v>36</v>
      </c>
      <c r="C25" s="11" t="s">
        <v>37</v>
      </c>
      <c r="D25" s="12">
        <v>31.79</v>
      </c>
      <c r="E25" s="12">
        <v>-0.26</v>
      </c>
      <c r="F25" s="19">
        <v>-8.0999999999999996E-3</v>
      </c>
      <c r="G25" s="13">
        <v>54</v>
      </c>
      <c r="H25" s="12">
        <f>Table1[[#This Row],[Quantity]]*Table1[[#This Row],[Current Price]]</f>
        <v>1716.6599999999999</v>
      </c>
      <c r="I25" s="11" t="s">
        <v>11</v>
      </c>
      <c r="J25" s="11" t="s">
        <v>38</v>
      </c>
      <c r="K25" s="11" t="s">
        <v>18</v>
      </c>
      <c r="L25" s="12">
        <v>31.97</v>
      </c>
    </row>
    <row r="26" spans="2:12" ht="19.5" customHeight="1" x14ac:dyDescent="0.25">
      <c r="B26" s="10" t="s">
        <v>39</v>
      </c>
      <c r="C26" s="11" t="s">
        <v>56</v>
      </c>
      <c r="D26" s="12">
        <v>23.27</v>
      </c>
      <c r="E26" s="12">
        <v>0.08</v>
      </c>
      <c r="F26" s="19">
        <v>3.3999999999999998E-3</v>
      </c>
      <c r="G26" s="13">
        <v>36</v>
      </c>
      <c r="H26" s="12">
        <f>Table1[[#This Row],[Quantity]]*Table1[[#This Row],[Current Price]]</f>
        <v>837.72</v>
      </c>
      <c r="I26" s="11" t="s">
        <v>30</v>
      </c>
      <c r="J26" s="11" t="s">
        <v>40</v>
      </c>
      <c r="K26" s="11" t="s">
        <v>18</v>
      </c>
      <c r="L26" s="12">
        <v>23.15</v>
      </c>
    </row>
    <row r="27" spans="2:12" ht="19.5" customHeight="1" x14ac:dyDescent="0.25">
      <c r="B27" t="s">
        <v>44</v>
      </c>
      <c r="C27" t="s">
        <v>45</v>
      </c>
      <c r="D27" s="1">
        <v>55.7</v>
      </c>
      <c r="E27" s="1">
        <v>0.83</v>
      </c>
      <c r="F27" s="20">
        <v>1.5100000000000001E-2</v>
      </c>
      <c r="G27" s="18">
        <v>100</v>
      </c>
      <c r="H27" s="1">
        <f>Table1[[#This Row],[Quantity]]*Table1[[#This Row],[Current Price]]</f>
        <v>5570</v>
      </c>
      <c r="I27" t="s">
        <v>11</v>
      </c>
      <c r="J27" t="s">
        <v>38</v>
      </c>
      <c r="K27" t="s">
        <v>18</v>
      </c>
      <c r="L27" s="17">
        <v>54.77</v>
      </c>
    </row>
    <row r="28" spans="2:12" ht="19.5" customHeight="1" x14ac:dyDescent="0.25">
      <c r="B28" t="s">
        <v>46</v>
      </c>
      <c r="C28" t="s">
        <v>57</v>
      </c>
      <c r="D28" s="1">
        <v>3.47</v>
      </c>
      <c r="E28" s="1">
        <v>-0.12</v>
      </c>
      <c r="F28" s="20">
        <v>-3.3399999999999999E-2</v>
      </c>
      <c r="G28" s="18">
        <v>50</v>
      </c>
      <c r="H28" s="1">
        <f>Table1[[#This Row],[Quantity]]*Table1[[#This Row],[Current Price]]</f>
        <v>173.5</v>
      </c>
      <c r="I28" t="s">
        <v>27</v>
      </c>
      <c r="J28" t="s">
        <v>47</v>
      </c>
      <c r="K28" t="s">
        <v>18</v>
      </c>
      <c r="L28" s="17">
        <v>3.48</v>
      </c>
    </row>
    <row r="29" spans="2:12" ht="19.5" customHeight="1" x14ac:dyDescent="0.25">
      <c r="B29" s="10" t="s">
        <v>24</v>
      </c>
      <c r="C29" s="10"/>
      <c r="D29" s="10"/>
      <c r="E29" s="10"/>
      <c r="F29" s="10"/>
      <c r="G29" s="10"/>
      <c r="H29" s="22">
        <f>SUBTOTAL(109,Table1[Total])</f>
        <v>49654.100000000006</v>
      </c>
      <c r="I29" s="10"/>
      <c r="J29" s="10"/>
      <c r="K29" s="10"/>
      <c r="L29" s="10"/>
    </row>
  </sheetData>
  <conditionalFormatting sqref="H17:H28">
    <cfRule type="expression" dxfId="13" priority="1">
      <formula>$B17="TOTAL"</formula>
    </cfRule>
  </conditionalFormatting>
  <conditionalFormatting sqref="F17:F29">
    <cfRule type="iconSet" priority="28">
      <iconSet iconSet="3Arrows">
        <cfvo type="percent" val="0"/>
        <cfvo type="num" val="0" gte="0"/>
        <cfvo type="num" val="0"/>
      </iconSet>
    </cfRule>
  </conditionalFormatting>
  <pageMargins left="0.45" right="0.45" top="0.5" bottom="0.5" header="0.3" footer="0.3"/>
  <pageSetup scale="73" fitToHeight="0" orientation="landscape" r:id="rId1"/>
  <drawing r:id="rId2"/>
  <tableParts count="1">
    <tablePart r:id="rId3"/>
  </tableParts>
  <extLst>
    <ext xmlns:x15="http://schemas.microsoft.com/office/spreadsheetml/2010/11/main" uri="{F7C9EE02-42E1-4005-9D12-6889AFFD525C}">
      <x15:webExtensions xmlns:xm="http://schemas.microsoft.com/office/excel/2006/main">
        <x15:webExtension appRef="{3B431CEF-B293-408A-B3E2-63C67846E20C}">
          <xm:f>Table1[#All]</xm:f>
        </x15:webExtension>
      </x15:webExtens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56"/>
  <sheetViews>
    <sheetView workbookViewId="0"/>
  </sheetViews>
  <sheetFormatPr defaultRowHeight="14.25" x14ac:dyDescent="0.25"/>
  <cols>
    <col min="2" max="4" width="20.5703125" customWidth="1"/>
    <col min="5" max="5" width="10.42578125" customWidth="1"/>
    <col min="9" max="9" width="11.28515625" customWidth="1"/>
    <col min="10" max="10" width="9.42578125" customWidth="1"/>
  </cols>
  <sheetData>
    <row r="1" spans="1:5" x14ac:dyDescent="0.25">
      <c r="A1" s="21" t="s">
        <v>48</v>
      </c>
    </row>
    <row r="6" spans="1:5" x14ac:dyDescent="0.25">
      <c r="B6" t="s">
        <v>29</v>
      </c>
      <c r="C6" t="str">
        <f>ChartOptionTitle</f>
        <v>Portfolio Sectors</v>
      </c>
    </row>
    <row r="9" spans="1:5" x14ac:dyDescent="0.25">
      <c r="C9" s="2" t="str">
        <f t="array" ref="C9">INDEX(PORTFOLIO!$I$16:$I$137, MATCH(0, COUNTIF($C$8:C8, PORTFOLIO!$I$16:$I$137), 0))</f>
        <v>Sector</v>
      </c>
      <c r="D9" s="3">
        <f t="array" ref="D9">COUNT(IF(LEN(D10:D19)&gt;0,1))</f>
        <v>7</v>
      </c>
    </row>
    <row r="10" spans="1:5" x14ac:dyDescent="0.25">
      <c r="B10" t="str">
        <f t="shared" ref="B10:B19" si="0">IFERROR(IF(C10=0,"",C10),"")</f>
        <v>Technology</v>
      </c>
      <c r="C10" s="2" t="str">
        <f t="array" ref="C10">INDEX(PORTFOLIO!$I$16:$I$137, MATCH(0, COUNTIF($C$8:C9, PORTFOLIO!$I$16:$I$137), 0))</f>
        <v>Technology</v>
      </c>
      <c r="D10" s="2" t="str">
        <f t="shared" ref="D10:D19" si="1">IFERROR(IF(C10=0,"Other",C10),"")</f>
        <v>Technology</v>
      </c>
      <c r="E10" s="1">
        <f>IF(ISERROR(C10),"",SUMIFS(Table1[Total],Table1[Sector],B10))</f>
        <v>5212.3499999999995</v>
      </c>
    </row>
    <row r="11" spans="1:5" x14ac:dyDescent="0.25">
      <c r="B11" t="str">
        <f t="shared" si="0"/>
        <v>Energy</v>
      </c>
      <c r="C11" s="2" t="str">
        <f t="array" ref="C11">INDEX(PORTFOLIO!$I$16:$I$137, MATCH(0, COUNTIF($C$8:C10, PORTFOLIO!$I$16:$I$137), 0))</f>
        <v>Energy</v>
      </c>
      <c r="D11" s="2" t="str">
        <f t="shared" si="1"/>
        <v>Energy</v>
      </c>
      <c r="E11" s="1">
        <f>IF(ISERROR(C11),"",SUMIFS(Table1[Total],Table1[Sector],B11))</f>
        <v>8667</v>
      </c>
    </row>
    <row r="12" spans="1:5" x14ac:dyDescent="0.25">
      <c r="B12" t="str">
        <f t="shared" si="0"/>
        <v>Consumer Cyclical</v>
      </c>
      <c r="C12" s="2" t="str">
        <f t="array" ref="C12">INDEX(PORTFOLIO!$I$16:$I$137, MATCH(0, COUNTIF($C$8:C11, PORTFOLIO!$I$16:$I$137), 0))</f>
        <v>Consumer Cyclical</v>
      </c>
      <c r="D12" s="2" t="str">
        <f t="shared" si="1"/>
        <v>Consumer Cyclical</v>
      </c>
      <c r="E12" s="1">
        <f>IF(ISERROR(C12),"",SUMIFS(Table1[Total],Table1[Sector],B12))</f>
        <v>9084.41</v>
      </c>
    </row>
    <row r="13" spans="1:5" x14ac:dyDescent="0.25">
      <c r="B13" t="str">
        <f t="shared" si="0"/>
        <v>Industrials</v>
      </c>
      <c r="C13" s="2" t="str">
        <f t="array" ref="C13">INDEX(PORTFOLIO!$I$16:$I$137, MATCH(0, COUNTIF($C$8:C12, PORTFOLIO!$I$16:$I$137), 0))</f>
        <v>Industrials</v>
      </c>
      <c r="D13" s="2" t="str">
        <f t="shared" si="1"/>
        <v>Industrials</v>
      </c>
      <c r="E13" s="1">
        <f>IF(ISERROR(C13),"",SUMIFS(Table1[Total],Table1[Sector],B13))</f>
        <v>4780.84</v>
      </c>
    </row>
    <row r="14" spans="1:5" x14ac:dyDescent="0.25">
      <c r="B14" t="str">
        <f t="shared" si="0"/>
        <v>Consumer Defensive</v>
      </c>
      <c r="C14" s="2" t="str">
        <f t="array" ref="C14">INDEX(PORTFOLIO!$I$16:$I$137, MATCH(0, COUNTIF($C$8:C13, PORTFOLIO!$I$16:$I$137), 0))</f>
        <v>Consumer Defensive</v>
      </c>
      <c r="D14" s="2" t="str">
        <f t="shared" si="1"/>
        <v>Consumer Defensive</v>
      </c>
      <c r="E14" s="1">
        <f>IF(ISERROR(C14),"",SUMIFS(Table1[Total],Table1[Sector],B14))</f>
        <v>6438</v>
      </c>
    </row>
    <row r="15" spans="1:5" x14ac:dyDescent="0.25">
      <c r="B15" t="str">
        <f t="shared" si="0"/>
        <v>Financial Services</v>
      </c>
      <c r="C15" s="2" t="str">
        <f t="array" ref="C15">INDEX(PORTFOLIO!$I$16:$I$137, MATCH(0, COUNTIF($C$8:C14, PORTFOLIO!$I$16:$I$137), 0))</f>
        <v>Financial Services</v>
      </c>
      <c r="D15" s="2" t="str">
        <f t="shared" si="1"/>
        <v>Financial Services</v>
      </c>
      <c r="E15" s="1">
        <f>IF(ISERROR(C15),"",SUMIFS(Table1[Total],Table1[Sector],B15))</f>
        <v>15471.5</v>
      </c>
    </row>
    <row r="16" spans="1:5" x14ac:dyDescent="0.25">
      <c r="B16" t="str">
        <f t="shared" si="0"/>
        <v/>
      </c>
      <c r="C16" s="2">
        <f t="array" ref="C16">INDEX(PORTFOLIO!$I$16:$I$137, MATCH(0, COUNTIF($C$8:C15, PORTFOLIO!$I$16:$I$137), 0))</f>
        <v>0</v>
      </c>
      <c r="D16" s="2" t="str">
        <f t="shared" si="1"/>
        <v>Other</v>
      </c>
      <c r="E16" s="1">
        <f>IF(ISERROR(C16),"",SUMIFS(Table1[Total],Table1[Sector],B16))</f>
        <v>0</v>
      </c>
    </row>
    <row r="17" spans="2:5" x14ac:dyDescent="0.25">
      <c r="B17" t="str">
        <f t="shared" si="0"/>
        <v/>
      </c>
      <c r="C17" s="2" t="e">
        <f t="array" ref="C17">INDEX(PORTFOLIO!$I$16:$I$137, MATCH(0, COUNTIF($C$8:C16, PORTFOLIO!$I$16:$I$137), 0))</f>
        <v>#N/A</v>
      </c>
      <c r="D17" s="2" t="str">
        <f t="shared" si="1"/>
        <v/>
      </c>
      <c r="E17" s="1" t="str">
        <f>IF(ISERROR(C17),"",SUMIFS(Table1[Total],Table1[Sector],B17))</f>
        <v/>
      </c>
    </row>
    <row r="18" spans="2:5" x14ac:dyDescent="0.25">
      <c r="B18" t="str">
        <f t="shared" si="0"/>
        <v/>
      </c>
      <c r="C18" s="2" t="e">
        <f t="array" ref="C18">INDEX(PORTFOLIO!$I$16:$I$137, MATCH(0, COUNTIF($C$8:C17, PORTFOLIO!$I$16:$I$137), 0))</f>
        <v>#N/A</v>
      </c>
      <c r="D18" s="2" t="str">
        <f t="shared" si="1"/>
        <v/>
      </c>
      <c r="E18" s="1" t="str">
        <f>IF(ISERROR(C18),"",SUMIFS(Table1[Total],Table1[Sector],B18))</f>
        <v/>
      </c>
    </row>
    <row r="19" spans="2:5" x14ac:dyDescent="0.25">
      <c r="B19" t="str">
        <f t="shared" si="0"/>
        <v/>
      </c>
      <c r="C19" s="2" t="e">
        <f t="array" ref="C19">INDEX(PORTFOLIO!$I$16:$I$137, MATCH(0, COUNTIF($C$8:C18, PORTFOLIO!$I$16:$I$137), 0))</f>
        <v>#N/A</v>
      </c>
      <c r="D19" s="2" t="str">
        <f t="shared" si="1"/>
        <v/>
      </c>
      <c r="E19" s="1" t="str">
        <f>IF(ISERROR(C19),"",SUMIFS(Table1[Total],Table1[Sector],B19))</f>
        <v/>
      </c>
    </row>
    <row r="25" spans="2:5" x14ac:dyDescent="0.25">
      <c r="C25" s="2" t="str">
        <f t="array" ref="C25">INDEX(PORTFOLIO!$J$16:$J$137, MATCH(0, COUNTIF($C$24:C24, PORTFOLIO!$J$16:$J$137), 0))</f>
        <v>Industry</v>
      </c>
      <c r="D25" s="3">
        <f t="array" ref="D25">COUNT(IF(LEN(D26:D35)&gt;0,1))</f>
        <v>10</v>
      </c>
    </row>
    <row r="26" spans="2:5" x14ac:dyDescent="0.25">
      <c r="B26" t="str">
        <f t="shared" ref="B26:B35" si="2">IFERROR(IF(C26=0,"",C26),"")</f>
        <v>Software - Infrastructure</v>
      </c>
      <c r="C26" s="2" t="str">
        <f t="array" ref="C26">INDEX(PORTFOLIO!$J$16:$J$137, MATCH(0, COUNTIF($C$24:C25, PORTFOLIO!$J$16:$J$137), 0))</f>
        <v>Software - Infrastructure</v>
      </c>
      <c r="D26" s="2" t="str">
        <f t="shared" ref="D26:D35" si="3">IFERROR(IF(C26=0,"Other",C26),"")</f>
        <v>Software - Infrastructure</v>
      </c>
      <c r="E26" s="1">
        <f>IF(ISERROR(C26),"",SUMIFS(Table1[Total],Table1[Industry],B26))</f>
        <v>5038.8499999999995</v>
      </c>
    </row>
    <row r="27" spans="2:5" x14ac:dyDescent="0.25">
      <c r="B27" t="str">
        <f t="shared" si="2"/>
        <v>Oil &amp; Gas E&amp;P</v>
      </c>
      <c r="C27" s="2" t="str">
        <f t="array" ref="C27">INDEX(PORTFOLIO!$J$16:$J$137, MATCH(0, COUNTIF($C$24:C26, PORTFOLIO!$J$16:$J$137), 0))</f>
        <v>Oil &amp; Gas E&amp;P</v>
      </c>
      <c r="D27" s="2" t="str">
        <f t="shared" si="3"/>
        <v>Oil &amp; Gas E&amp;P</v>
      </c>
      <c r="E27" s="1">
        <f>IF(ISERROR(C27),"",SUMIFS(Table1[Total],Table1[Industry],B27))</f>
        <v>8667</v>
      </c>
    </row>
    <row r="28" spans="2:5" x14ac:dyDescent="0.25">
      <c r="B28" t="str">
        <f t="shared" si="2"/>
        <v>Auto Manufacturers</v>
      </c>
      <c r="C28" s="2" t="str">
        <f t="array" ref="C28">INDEX(PORTFOLIO!$J$16:$J$137, MATCH(0, COUNTIF($C$24:C27, PORTFOLIO!$J$16:$J$137), 0))</f>
        <v>Auto Manufacturers</v>
      </c>
      <c r="D28" s="2" t="str">
        <f t="shared" si="3"/>
        <v>Auto Manufacturers</v>
      </c>
      <c r="E28" s="1">
        <f>IF(ISERROR(C28),"",SUMIFS(Table1[Total],Table1[Industry],B28))</f>
        <v>1797.75</v>
      </c>
    </row>
    <row r="29" spans="2:5" x14ac:dyDescent="0.25">
      <c r="B29" t="str">
        <f t="shared" si="2"/>
        <v>Conglomerates</v>
      </c>
      <c r="C29" s="2" t="str">
        <f t="array" ref="C29">INDEX(PORTFOLIO!$J$16:$J$137, MATCH(0, COUNTIF($C$24:C28, PORTFOLIO!$J$16:$J$137), 0))</f>
        <v>Conglomerates</v>
      </c>
      <c r="D29" s="2" t="str">
        <f t="shared" si="3"/>
        <v>Conglomerates</v>
      </c>
      <c r="E29" s="1">
        <f>IF(ISERROR(C29),"",SUMIFS(Table1[Total],Table1[Industry],B29))</f>
        <v>854.83999999999992</v>
      </c>
    </row>
    <row r="30" spans="2:5" x14ac:dyDescent="0.25">
      <c r="B30" t="str">
        <f t="shared" si="2"/>
        <v>Packaged Foods</v>
      </c>
      <c r="C30" s="2" t="str">
        <f t="array" ref="C30">INDEX(PORTFOLIO!$J$16:$J$137, MATCH(0, COUNTIF($C$24:C29, PORTFOLIO!$J$16:$J$137), 0))</f>
        <v>Packaged Foods</v>
      </c>
      <c r="D30" s="2" t="str">
        <f t="shared" si="3"/>
        <v>Packaged Foods</v>
      </c>
      <c r="E30" s="1">
        <f>IF(ISERROR(C30),"",SUMIFS(Table1[Total],Table1[Industry],B30))</f>
        <v>6438</v>
      </c>
    </row>
    <row r="31" spans="2:5" x14ac:dyDescent="0.25">
      <c r="B31" t="str">
        <f t="shared" si="2"/>
        <v>Credit Services</v>
      </c>
      <c r="C31" s="2" t="str">
        <f t="array" ref="C31">INDEX(PORTFOLIO!$J$16:$J$137, MATCH(0, COUNTIF($C$24:C30, PORTFOLIO!$J$16:$J$137), 0))</f>
        <v>Credit Services</v>
      </c>
      <c r="D31" s="2" t="str">
        <f t="shared" si="3"/>
        <v>Credit Services</v>
      </c>
      <c r="E31" s="1">
        <f>IF(ISERROR(C31),"",SUMIFS(Table1[Total],Table1[Industry],B31))</f>
        <v>15471.5</v>
      </c>
    </row>
    <row r="32" spans="2:5" x14ac:dyDescent="0.25">
      <c r="B32" t="str">
        <f t="shared" si="2"/>
        <v>Business Services</v>
      </c>
      <c r="C32" s="2" t="str">
        <f t="array" ref="C32">INDEX(PORTFOLIO!$J$16:$J$137, MATCH(0, COUNTIF($C$24:C31, PORTFOLIO!$J$16:$J$137), 0))</f>
        <v>Business Services</v>
      </c>
      <c r="D32" s="2" t="str">
        <f t="shared" si="3"/>
        <v>Business Services</v>
      </c>
      <c r="E32" s="1">
        <f>IF(ISERROR(C32),"",SUMIFS(Table1[Total],Table1[Industry],B32))</f>
        <v>587.17999999999995</v>
      </c>
    </row>
    <row r="33" spans="2:5" x14ac:dyDescent="0.25">
      <c r="B33" t="str">
        <f t="shared" si="2"/>
        <v>Rental &amp; Leasing Services</v>
      </c>
      <c r="C33" s="2" t="str">
        <f t="array" ref="C33">INDEX(PORTFOLIO!$J$16:$J$137, MATCH(0, COUNTIF($C$24:C32, PORTFOLIO!$J$16:$J$137), 0))</f>
        <v>Rental &amp; Leasing Services</v>
      </c>
      <c r="D33" s="2" t="str">
        <f t="shared" si="3"/>
        <v>Rental &amp; Leasing Services</v>
      </c>
      <c r="E33" s="1">
        <f>IF(ISERROR(C33),"",SUMIFS(Table1[Total],Table1[Industry],B33))</f>
        <v>2501.1</v>
      </c>
    </row>
    <row r="34" spans="2:5" x14ac:dyDescent="0.25">
      <c r="B34" t="str">
        <f t="shared" si="2"/>
        <v>Restaurants</v>
      </c>
      <c r="C34" s="2" t="str">
        <f t="array" ref="C34">INDEX(PORTFOLIO!$J$16:$J$137, MATCH(0, COUNTIF($C$24:C33, PORTFOLIO!$J$16:$J$137), 0))</f>
        <v>Restaurants</v>
      </c>
      <c r="D34" s="2" t="str">
        <f t="shared" si="3"/>
        <v>Restaurants</v>
      </c>
      <c r="E34" s="1">
        <f>IF(ISERROR(C34),"",SUMIFS(Table1[Total],Table1[Industry],B34))</f>
        <v>7286.66</v>
      </c>
    </row>
    <row r="35" spans="2:5" x14ac:dyDescent="0.25">
      <c r="B35" t="str">
        <f t="shared" si="2"/>
        <v>Diversified Industrials</v>
      </c>
      <c r="C35" s="2" t="str">
        <f t="array" ref="C35">INDEX(PORTFOLIO!$J$16:$J$137, MATCH(0, COUNTIF($C$24:C34, PORTFOLIO!$J$16:$J$137), 0))</f>
        <v>Diversified Industrials</v>
      </c>
      <c r="D35" s="2" t="str">
        <f t="shared" si="3"/>
        <v>Diversified Industrials</v>
      </c>
      <c r="E35" s="1">
        <f>IF(ISERROR(C35),"",SUMIFS(Table1[Total],Table1[Industry],B35))</f>
        <v>837.72</v>
      </c>
    </row>
    <row r="41" spans="2:5" x14ac:dyDescent="0.25">
      <c r="C41" s="2" t="str">
        <f t="array" ref="C41">INDEX(PORTFOLIO!$K$16:$K$28, MATCH(0, COUNTIF($C$40:C40, PORTFOLIO!$K$16:$K$137), 0))</f>
        <v>Type</v>
      </c>
      <c r="D41" s="3">
        <f t="array" ref="D41">COUNT(IF(LEN(D42:D51)&gt;0,1))</f>
        <v>2</v>
      </c>
    </row>
    <row r="42" spans="2:5" x14ac:dyDescent="0.25">
      <c r="B42" t="str">
        <f t="shared" ref="B42:B51" si="4">IFERROR(IF(C42=0,"",C42),"")</f>
        <v>Equity</v>
      </c>
      <c r="C42" s="2" t="s">
        <v>18</v>
      </c>
      <c r="D42" s="2" t="str">
        <f>IFERROR(IF(C42=0,"Other",C42),"")</f>
        <v>Equity</v>
      </c>
      <c r="E42" s="1">
        <f>IF(ISERROR(C42),"",SUMIFS(Table1[Total],Table1[Type],B42))</f>
        <v>43216.100000000006</v>
      </c>
    </row>
    <row r="43" spans="2:5" x14ac:dyDescent="0.25">
      <c r="B43" t="str">
        <f t="shared" si="4"/>
        <v>Fund</v>
      </c>
      <c r="C43" s="2" t="s">
        <v>19</v>
      </c>
      <c r="D43" s="2" t="str">
        <f>IFERROR(IF(C43=0,"Other",C43),"")</f>
        <v>Fund</v>
      </c>
      <c r="E43" s="1">
        <f>IF(ISERROR(C43),"",SUMIFS(Table1[Total],Table1[Type],B43))</f>
        <v>6438</v>
      </c>
    </row>
    <row r="44" spans="2:5" x14ac:dyDescent="0.25">
      <c r="B44" t="str">
        <f t="shared" si="4"/>
        <v/>
      </c>
      <c r="C44" s="2">
        <f t="array" ref="C44">INDEX(PORTFOLIO!$K$16:$K$137, MATCH(0, COUNTIF($C$40:C43, PORTFOLIO!$K$16:$K$137), 0))</f>
        <v>0</v>
      </c>
      <c r="D44" s="2" t="str">
        <f>IFERROR(IF(C44=0,"",C44),"")</f>
        <v/>
      </c>
      <c r="E44" s="1">
        <f>IF(ISERROR(C44),"",SUMIFS(Table1[Total],Table1[Type],B44))</f>
        <v>0</v>
      </c>
    </row>
    <row r="45" spans="2:5" x14ac:dyDescent="0.25">
      <c r="B45" t="str">
        <f t="shared" si="4"/>
        <v/>
      </c>
      <c r="C45" s="2" t="e">
        <f t="array" ref="C45">INDEX(PORTFOLIO!$K$16:$K$137, MATCH(0, COUNTIF($C$40:C44, PORTFOLIO!$K$16:$K$137), 0))</f>
        <v>#N/A</v>
      </c>
      <c r="D45" s="2" t="str">
        <f t="shared" ref="D45:D51" si="5">IFERROR(IF(C45=0,"Other",C45),"")</f>
        <v/>
      </c>
      <c r="E45" s="1" t="str">
        <f>IF(ISERROR(C45),"",SUMIFS(Table1[Total],Table1[Type],B45))</f>
        <v/>
      </c>
    </row>
    <row r="46" spans="2:5" x14ac:dyDescent="0.25">
      <c r="B46" t="str">
        <f t="shared" si="4"/>
        <v/>
      </c>
      <c r="C46" s="2" t="e">
        <f t="array" ref="C46">INDEX(PORTFOLIO!$K$16:$K$137, MATCH(0, COUNTIF($C$40:C45, PORTFOLIO!$K$16:$K$137), 0))</f>
        <v>#N/A</v>
      </c>
      <c r="D46" s="2" t="str">
        <f t="shared" si="5"/>
        <v/>
      </c>
      <c r="E46" s="1" t="str">
        <f>IF(ISERROR(C46),"",SUMIFS(Table1[Total],Table1[Type],B46))</f>
        <v/>
      </c>
    </row>
    <row r="47" spans="2:5" x14ac:dyDescent="0.25">
      <c r="B47" t="str">
        <f t="shared" si="4"/>
        <v/>
      </c>
      <c r="C47" s="2" t="e">
        <f t="array" ref="C47">INDEX(PORTFOLIO!$K$16:$K$137, MATCH(0, COUNTIF($C$40:C46, PORTFOLIO!$K$16:$K$137), 0))</f>
        <v>#N/A</v>
      </c>
      <c r="D47" s="2" t="str">
        <f t="shared" si="5"/>
        <v/>
      </c>
      <c r="E47" s="1" t="str">
        <f>IF(ISERROR(C47),"",SUMIFS(Table1[Total],Table1[Type],B47))</f>
        <v/>
      </c>
    </row>
    <row r="48" spans="2:5" x14ac:dyDescent="0.25">
      <c r="B48" t="str">
        <f t="shared" si="4"/>
        <v/>
      </c>
      <c r="C48" s="2" t="e">
        <f t="array" ref="C48">INDEX(PORTFOLIO!$K$16:$K$137, MATCH(0, COUNTIF($C$40:C47, PORTFOLIO!$K$16:$K$137), 0))</f>
        <v>#N/A</v>
      </c>
      <c r="D48" s="2" t="str">
        <f t="shared" si="5"/>
        <v/>
      </c>
      <c r="E48" s="1" t="str">
        <f>IF(ISERROR(C48),"",SUMIFS(Table1[Total],Table1[Type],B48))</f>
        <v/>
      </c>
    </row>
    <row r="49" spans="2:12" x14ac:dyDescent="0.25">
      <c r="B49" t="str">
        <f t="shared" si="4"/>
        <v/>
      </c>
      <c r="C49" s="2" t="e">
        <f t="array" ref="C49">INDEX(PORTFOLIO!$K$16:$K$137, MATCH(0, COUNTIF($C$40:C48, PORTFOLIO!$K$16:$K$137), 0))</f>
        <v>#N/A</v>
      </c>
      <c r="D49" s="2" t="str">
        <f t="shared" si="5"/>
        <v/>
      </c>
      <c r="E49" s="1" t="str">
        <f>IF(ISERROR(C49),"",SUMIFS(Table1[Total],Table1[Type],B49))</f>
        <v/>
      </c>
    </row>
    <row r="50" spans="2:12" x14ac:dyDescent="0.25">
      <c r="B50" t="str">
        <f t="shared" si="4"/>
        <v/>
      </c>
      <c r="C50" s="2" t="e">
        <f t="array" ref="C50">INDEX(PORTFOLIO!$K$16:$K$137, MATCH(0, COUNTIF($C$40:C49, PORTFOLIO!$K$16:$K$137), 0))</f>
        <v>#N/A</v>
      </c>
      <c r="D50" s="2" t="str">
        <f t="shared" si="5"/>
        <v/>
      </c>
      <c r="E50" s="1" t="str">
        <f>IF(ISERROR(C50),"",SUMIFS(Table1[Total],Table1[Type],B50))</f>
        <v/>
      </c>
    </row>
    <row r="51" spans="2:12" x14ac:dyDescent="0.25">
      <c r="B51" t="str">
        <f t="shared" si="4"/>
        <v/>
      </c>
      <c r="C51" s="2" t="e">
        <f t="array" ref="C51">INDEX(PORTFOLIO!$K$16:$K$137, MATCH(0, COUNTIF($C$40:C50, PORTFOLIO!$K$16:$K$137), 0))</f>
        <v>#N/A</v>
      </c>
      <c r="D51" s="2" t="str">
        <f t="shared" si="5"/>
        <v/>
      </c>
      <c r="E51" s="1" t="str">
        <f>IF(ISERROR(C51),"",SUMIFS(Table1[Total],Table1[Type],B51))</f>
        <v/>
      </c>
    </row>
    <row r="54" spans="2:12" x14ac:dyDescent="0.25">
      <c r="H54" t="str">
        <f t="array" ref="H54">IF(COUNT(IF(LEN(H57:H156)&gt;0,1))&lt;11,H56,"Top 10 of " &amp; COUNT(IF(LEN(H57:H156)&gt;0,1))) &amp; " Positions"</f>
        <v>Top 10 of 12 Positions</v>
      </c>
    </row>
    <row r="56" spans="2:12" x14ac:dyDescent="0.25">
      <c r="H56">
        <f t="array" ref="H56">MIN(COUNT(IF(LEN(H57:H156)&gt;0,1)),10)</f>
        <v>10</v>
      </c>
    </row>
    <row r="57" spans="2:12" x14ac:dyDescent="0.25">
      <c r="F57">
        <v>1</v>
      </c>
      <c r="G57" t="str">
        <f>INDEX(PORTFOLIO!$B$17:$B$215,$F57)</f>
        <v>MSFT</v>
      </c>
      <c r="H57" t="str">
        <f>REPT(G57,(G57&lt;&gt;"total")*(G57&lt;&gt;0))&amp;REPT("No Positions",G57=0)</f>
        <v>MSFT</v>
      </c>
      <c r="I57" s="4">
        <f>IF((G57&lt;&gt;"total")*(G57&lt;&gt;0),INDEX(PORTFOLIO!$H$17:$H$215,$F57),0)</f>
        <v>5038.8499999999995</v>
      </c>
      <c r="J57" s="5">
        <f>LARGE($I$57:$I$156,ROWS($J$57:$J57))</f>
        <v>15471.5</v>
      </c>
      <c r="K57">
        <f>MATCH(J57,$I$57:$I$156,0)</f>
        <v>6</v>
      </c>
      <c r="L57" t="str">
        <f>INDEX($H$57:$H$156,K57)</f>
        <v>V</v>
      </c>
    </row>
    <row r="58" spans="2:12" x14ac:dyDescent="0.25">
      <c r="F58">
        <v>2</v>
      </c>
      <c r="G58" t="str">
        <f>INDEX(PORTFOLIO!$B$17:$B$215,$F58)</f>
        <v>LNCO</v>
      </c>
      <c r="H58" t="str">
        <f t="shared" ref="H58:H106" si="6">REPT(G58,(G58&lt;&gt;"total")*(G58&lt;&gt;0))</f>
        <v>LNCO</v>
      </c>
      <c r="I58" s="4">
        <f>IF((G58&lt;&gt;"total")*(G58&lt;&gt;0),INDEX(PORTFOLIO!$H$17:$H$215,$F58),0)</f>
        <v>8667</v>
      </c>
      <c r="J58" s="5">
        <f>LARGE($I$57:$I$156,ROWS($J$57:$J58))</f>
        <v>8667</v>
      </c>
      <c r="K58">
        <f t="shared" ref="K58:K121" si="7">MATCH(J58,$I$57:$I$156,0)</f>
        <v>2</v>
      </c>
      <c r="L58" t="str">
        <f t="shared" ref="L58:L121" si="8">INDEX($H$57:$H$156,K58)</f>
        <v>LNCO</v>
      </c>
    </row>
    <row r="59" spans="2:12" x14ac:dyDescent="0.25">
      <c r="F59">
        <v>3</v>
      </c>
      <c r="G59" t="str">
        <f>INDEX(PORTFOLIO!$B$17:$B$215,$F59)</f>
        <v>F</v>
      </c>
      <c r="H59" t="str">
        <f t="shared" si="6"/>
        <v>F</v>
      </c>
      <c r="I59" s="4">
        <f>IF((G59&lt;&gt;"total")*(G59&lt;&gt;0),INDEX(PORTFOLIO!$H$17:$H$215,$F59),0)</f>
        <v>1797.75</v>
      </c>
      <c r="J59" s="5">
        <f>LARGE($I$57:$I$156,ROWS($J$57:$J59))</f>
        <v>6438</v>
      </c>
      <c r="K59">
        <f t="shared" si="7"/>
        <v>5</v>
      </c>
      <c r="L59" t="str">
        <f t="shared" si="8"/>
        <v>ADRD</v>
      </c>
    </row>
    <row r="60" spans="2:12" x14ac:dyDescent="0.25">
      <c r="F60">
        <v>4</v>
      </c>
      <c r="G60" t="str">
        <f>INDEX(PORTFOLIO!$B$17:$B$215,$F60)</f>
        <v>BGSC</v>
      </c>
      <c r="H60" t="str">
        <f t="shared" si="6"/>
        <v>BGSC</v>
      </c>
      <c r="I60" s="4">
        <f>IF((G60&lt;&gt;"total")*(G60&lt;&gt;0),INDEX(PORTFOLIO!$H$17:$H$215,$F60),0)</f>
        <v>854.83999999999992</v>
      </c>
      <c r="J60" s="5">
        <f>LARGE($I$57:$I$156,ROWS($J$57:$J60))</f>
        <v>5570</v>
      </c>
      <c r="K60">
        <f t="shared" si="7"/>
        <v>11</v>
      </c>
      <c r="L60" t="str">
        <f t="shared" si="8"/>
        <v>SBUX</v>
      </c>
    </row>
    <row r="61" spans="2:12" x14ac:dyDescent="0.25">
      <c r="F61">
        <v>5</v>
      </c>
      <c r="G61" t="str">
        <f>INDEX(PORTFOLIO!$B$17:$B$215,$F61)</f>
        <v>ADRD</v>
      </c>
      <c r="H61" t="str">
        <f t="shared" si="6"/>
        <v>ADRD</v>
      </c>
      <c r="I61" s="4">
        <f>IF((G61&lt;&gt;"total")*(G61&lt;&gt;0),INDEX(PORTFOLIO!$H$17:$H$215,$F61),0)</f>
        <v>6438</v>
      </c>
      <c r="J61" s="5">
        <f>LARGE($I$57:$I$156,ROWS($J$57:$J61))</f>
        <v>5038.8499999999995</v>
      </c>
      <c r="K61">
        <f t="shared" si="7"/>
        <v>1</v>
      </c>
      <c r="L61" t="str">
        <f t="shared" si="8"/>
        <v>MSFT</v>
      </c>
    </row>
    <row r="62" spans="2:12" x14ac:dyDescent="0.25">
      <c r="F62">
        <v>6</v>
      </c>
      <c r="G62" t="str">
        <f>INDEX(PORTFOLIO!$B$17:$B$215,$F62)</f>
        <v>V</v>
      </c>
      <c r="H62" t="str">
        <f t="shared" si="6"/>
        <v>V</v>
      </c>
      <c r="I62" s="4">
        <f>IF((G62&lt;&gt;"total")*(G62&lt;&gt;0),INDEX(PORTFOLIO!$H$17:$H$215,$F62),0)</f>
        <v>15471.5</v>
      </c>
      <c r="J62" s="5">
        <f>LARGE($I$57:$I$156,ROWS($J$57:$J62))</f>
        <v>2501.1</v>
      </c>
      <c r="K62">
        <f t="shared" si="7"/>
        <v>8</v>
      </c>
      <c r="L62" t="str">
        <f t="shared" si="8"/>
        <v>R</v>
      </c>
    </row>
    <row r="63" spans="2:12" x14ac:dyDescent="0.25">
      <c r="F63">
        <v>7</v>
      </c>
      <c r="G63" t="str">
        <f>INDEX(PORTFOLIO!$B$17:$B$215,$F63)</f>
        <v>MGI</v>
      </c>
      <c r="H63" t="str">
        <f t="shared" si="6"/>
        <v>MGI</v>
      </c>
      <c r="I63" s="4">
        <f>IF((G63&lt;&gt;"total")*(G63&lt;&gt;0),INDEX(PORTFOLIO!$H$17:$H$215,$F63),0)</f>
        <v>587.17999999999995</v>
      </c>
      <c r="J63" s="5">
        <f>LARGE($I$57:$I$156,ROWS($J$57:$J63))</f>
        <v>1797.75</v>
      </c>
      <c r="K63">
        <f t="shared" si="7"/>
        <v>3</v>
      </c>
      <c r="L63" t="str">
        <f t="shared" si="8"/>
        <v>F</v>
      </c>
    </row>
    <row r="64" spans="2:12" x14ac:dyDescent="0.25">
      <c r="F64">
        <v>8</v>
      </c>
      <c r="G64" t="str">
        <f>INDEX(PORTFOLIO!$B$17:$B$215,$F64)</f>
        <v>R</v>
      </c>
      <c r="H64" t="str">
        <f t="shared" si="6"/>
        <v>R</v>
      </c>
      <c r="I64" s="4">
        <f>IF((G64&lt;&gt;"total")*(G64&lt;&gt;0),INDEX(PORTFOLIO!$H$17:$H$215,$F64),0)</f>
        <v>2501.1</v>
      </c>
      <c r="J64" s="5">
        <f>LARGE($I$57:$I$156,ROWS($J$57:$J64))</f>
        <v>1716.6599999999999</v>
      </c>
      <c r="K64">
        <f t="shared" si="7"/>
        <v>9</v>
      </c>
      <c r="L64" t="str">
        <f t="shared" si="8"/>
        <v>JACK</v>
      </c>
    </row>
    <row r="65" spans="6:12" x14ac:dyDescent="0.25">
      <c r="F65">
        <v>9</v>
      </c>
      <c r="G65" t="str">
        <f>INDEX(PORTFOLIO!$B$17:$B$215,$F65)</f>
        <v>JACK</v>
      </c>
      <c r="H65" t="str">
        <f t="shared" si="6"/>
        <v>JACK</v>
      </c>
      <c r="I65" s="4">
        <f>IF((G65&lt;&gt;"total")*(G65&lt;&gt;0),INDEX(PORTFOLIO!$H$17:$H$215,$F65),0)</f>
        <v>1716.6599999999999</v>
      </c>
      <c r="J65" s="5">
        <f>LARGE($I$57:$I$156,ROWS($J$57:$J65))</f>
        <v>854.83999999999992</v>
      </c>
      <c r="K65">
        <f t="shared" si="7"/>
        <v>4</v>
      </c>
      <c r="L65" t="str">
        <f t="shared" si="8"/>
        <v>BGSC</v>
      </c>
    </row>
    <row r="66" spans="6:12" x14ac:dyDescent="0.25">
      <c r="F66">
        <v>10</v>
      </c>
      <c r="G66" t="str">
        <f>INDEX(PORTFOLIO!$B$17:$B$215,$F66)</f>
        <v>GE</v>
      </c>
      <c r="H66" t="str">
        <f t="shared" si="6"/>
        <v>GE</v>
      </c>
      <c r="I66" s="4">
        <f>IF((G66&lt;&gt;"total")*(G66&lt;&gt;0),INDEX(PORTFOLIO!$H$17:$H$215,$F66),0)</f>
        <v>837.72</v>
      </c>
      <c r="J66" s="5">
        <f>LARGE($I$57:$I$156,ROWS($J$57:$J66))</f>
        <v>837.72</v>
      </c>
      <c r="K66">
        <f t="shared" si="7"/>
        <v>10</v>
      </c>
      <c r="L66" t="str">
        <f t="shared" si="8"/>
        <v>GE</v>
      </c>
    </row>
    <row r="67" spans="6:12" x14ac:dyDescent="0.25">
      <c r="F67">
        <v>11</v>
      </c>
      <c r="G67" t="str">
        <f>INDEX(PORTFOLIO!$B$17:$B$215,$F67)</f>
        <v>SBUX</v>
      </c>
      <c r="H67" t="str">
        <f t="shared" si="6"/>
        <v>SBUX</v>
      </c>
      <c r="I67" s="4">
        <f>IF((G67&lt;&gt;"total")*(G67&lt;&gt;0),INDEX(PORTFOLIO!$H$17:$H$215,$F67),0)</f>
        <v>5570</v>
      </c>
      <c r="J67" s="5">
        <f>LARGE($I$57:$I$156,ROWS($J$57:$J67))</f>
        <v>587.17999999999995</v>
      </c>
      <c r="K67">
        <f t="shared" si="7"/>
        <v>7</v>
      </c>
      <c r="L67" t="str">
        <f t="shared" si="8"/>
        <v>MGI</v>
      </c>
    </row>
    <row r="68" spans="6:12" x14ac:dyDescent="0.25">
      <c r="F68">
        <v>12</v>
      </c>
      <c r="G68" t="str">
        <f>INDEX(PORTFOLIO!$B$17:$B$215,$F68)</f>
        <v>NOK</v>
      </c>
      <c r="H68" t="str">
        <f t="shared" si="6"/>
        <v>NOK</v>
      </c>
      <c r="I68" s="4">
        <f>IF((G68&lt;&gt;"total")*(G68&lt;&gt;0),INDEX(PORTFOLIO!$H$17:$H$215,$F68),0)</f>
        <v>173.5</v>
      </c>
      <c r="J68" s="5">
        <f>LARGE($I$57:$I$156,ROWS($J$57:$J68))</f>
        <v>173.5</v>
      </c>
      <c r="K68">
        <f t="shared" si="7"/>
        <v>12</v>
      </c>
      <c r="L68" t="str">
        <f t="shared" si="8"/>
        <v>NOK</v>
      </c>
    </row>
    <row r="69" spans="6:12" x14ac:dyDescent="0.25">
      <c r="F69">
        <v>13</v>
      </c>
      <c r="G69" t="str">
        <f>INDEX(PORTFOLIO!$B$17:$B$215,$F69)</f>
        <v>TOTAL</v>
      </c>
      <c r="H69" t="str">
        <f t="shared" si="6"/>
        <v/>
      </c>
      <c r="I69" s="4">
        <f>IF((G69&lt;&gt;"total")*(G69&lt;&gt;0),INDEX(PORTFOLIO!$H$17:$H$215,$F69),0)</f>
        <v>0</v>
      </c>
      <c r="J69" s="5">
        <f>LARGE($I$57:$I$156,ROWS($J$57:$J69))</f>
        <v>0</v>
      </c>
      <c r="K69">
        <f t="shared" si="7"/>
        <v>13</v>
      </c>
      <c r="L69" t="str">
        <f t="shared" si="8"/>
        <v/>
      </c>
    </row>
    <row r="70" spans="6:12" x14ac:dyDescent="0.25">
      <c r="F70">
        <v>14</v>
      </c>
      <c r="G70">
        <f>INDEX(PORTFOLIO!$B$17:$B$215,$F70)</f>
        <v>0</v>
      </c>
      <c r="H70" t="str">
        <f t="shared" si="6"/>
        <v/>
      </c>
      <c r="I70" s="4">
        <f>IF((G70&lt;&gt;"total")*(G70&lt;&gt;0),INDEX(PORTFOLIO!$H$17:$H$215,$F70),0)</f>
        <v>0</v>
      </c>
      <c r="J70" s="5">
        <f>LARGE($I$57:$I$156,ROWS($J$57:$J70))</f>
        <v>0</v>
      </c>
      <c r="K70">
        <f t="shared" si="7"/>
        <v>13</v>
      </c>
      <c r="L70" t="str">
        <f t="shared" si="8"/>
        <v/>
      </c>
    </row>
    <row r="71" spans="6:12" x14ac:dyDescent="0.25">
      <c r="F71">
        <v>15</v>
      </c>
      <c r="G71">
        <f>INDEX(PORTFOLIO!$B$17:$B$215,$F71)</f>
        <v>0</v>
      </c>
      <c r="H71" t="str">
        <f t="shared" si="6"/>
        <v/>
      </c>
      <c r="I71" s="4">
        <f>IF((G71&lt;&gt;"total")*(G71&lt;&gt;0),INDEX(PORTFOLIO!$H$17:$H$215,$F71),0)</f>
        <v>0</v>
      </c>
      <c r="J71" s="5">
        <f>LARGE($I$57:$I$156,ROWS($J$57:$J71))</f>
        <v>0</v>
      </c>
      <c r="K71">
        <f t="shared" si="7"/>
        <v>13</v>
      </c>
      <c r="L71" t="str">
        <f t="shared" si="8"/>
        <v/>
      </c>
    </row>
    <row r="72" spans="6:12" x14ac:dyDescent="0.25">
      <c r="F72">
        <v>16</v>
      </c>
      <c r="G72">
        <f>INDEX(PORTFOLIO!$B$17:$B$215,$F72)</f>
        <v>0</v>
      </c>
      <c r="H72" t="str">
        <f t="shared" si="6"/>
        <v/>
      </c>
      <c r="I72" s="4">
        <f>IF((G72&lt;&gt;"total")*(G72&lt;&gt;0),INDEX(PORTFOLIO!$H$17:$H$215,$F72),0)</f>
        <v>0</v>
      </c>
      <c r="J72" s="5">
        <f>LARGE($I$57:$I$156,ROWS($J$57:$J72))</f>
        <v>0</v>
      </c>
      <c r="K72">
        <f t="shared" si="7"/>
        <v>13</v>
      </c>
      <c r="L72" t="str">
        <f t="shared" si="8"/>
        <v/>
      </c>
    </row>
    <row r="73" spans="6:12" x14ac:dyDescent="0.25">
      <c r="F73">
        <v>17</v>
      </c>
      <c r="G73">
        <f>INDEX(PORTFOLIO!$B$17:$B$215,$F73)</f>
        <v>0</v>
      </c>
      <c r="H73" t="str">
        <f t="shared" si="6"/>
        <v/>
      </c>
      <c r="I73" s="4">
        <f>IF((G73&lt;&gt;"total")*(G73&lt;&gt;0),INDEX(PORTFOLIO!$H$17:$H$215,$F73),0)</f>
        <v>0</v>
      </c>
      <c r="J73" s="5">
        <f>LARGE($I$57:$I$156,ROWS($J$57:$J73))</f>
        <v>0</v>
      </c>
      <c r="K73">
        <f t="shared" si="7"/>
        <v>13</v>
      </c>
      <c r="L73" t="str">
        <f t="shared" si="8"/>
        <v/>
      </c>
    </row>
    <row r="74" spans="6:12" x14ac:dyDescent="0.25">
      <c r="F74">
        <v>18</v>
      </c>
      <c r="G74">
        <f>INDEX(PORTFOLIO!$B$17:$B$215,$F74)</f>
        <v>0</v>
      </c>
      <c r="H74" t="str">
        <f t="shared" si="6"/>
        <v/>
      </c>
      <c r="I74" s="4">
        <f>IF((G74&lt;&gt;"total")*(G74&lt;&gt;0),INDEX(PORTFOLIO!$H$17:$H$215,$F74),0)</f>
        <v>0</v>
      </c>
      <c r="J74" s="5">
        <f>LARGE($I$57:$I$156,ROWS($J$57:$J74))</f>
        <v>0</v>
      </c>
      <c r="K74">
        <f t="shared" si="7"/>
        <v>13</v>
      </c>
      <c r="L74" t="str">
        <f t="shared" si="8"/>
        <v/>
      </c>
    </row>
    <row r="75" spans="6:12" x14ac:dyDescent="0.25">
      <c r="F75">
        <v>19</v>
      </c>
      <c r="G75">
        <f>INDEX(PORTFOLIO!$B$17:$B$215,$F75)</f>
        <v>0</v>
      </c>
      <c r="H75" t="str">
        <f t="shared" si="6"/>
        <v/>
      </c>
      <c r="I75" s="4">
        <f>IF((G75&lt;&gt;"total")*(G75&lt;&gt;0),INDEX(PORTFOLIO!$H$17:$H$215,$F75),0)</f>
        <v>0</v>
      </c>
      <c r="J75" s="5">
        <f>LARGE($I$57:$I$156,ROWS($J$57:$J75))</f>
        <v>0</v>
      </c>
      <c r="K75">
        <f t="shared" si="7"/>
        <v>13</v>
      </c>
      <c r="L75" t="str">
        <f t="shared" si="8"/>
        <v/>
      </c>
    </row>
    <row r="76" spans="6:12" x14ac:dyDescent="0.25">
      <c r="F76">
        <v>20</v>
      </c>
      <c r="G76">
        <f>INDEX(PORTFOLIO!$B$17:$B$215,$F76)</f>
        <v>0</v>
      </c>
      <c r="H76" t="str">
        <f t="shared" si="6"/>
        <v/>
      </c>
      <c r="I76" s="4">
        <f>IF((G76&lt;&gt;"total")*(G76&lt;&gt;0),INDEX(PORTFOLIO!$H$17:$H$215,$F76),0)</f>
        <v>0</v>
      </c>
      <c r="J76" s="5">
        <f>LARGE($I$57:$I$156,ROWS($J$57:$J76))</f>
        <v>0</v>
      </c>
      <c r="K76">
        <f t="shared" si="7"/>
        <v>13</v>
      </c>
      <c r="L76" t="str">
        <f t="shared" si="8"/>
        <v/>
      </c>
    </row>
    <row r="77" spans="6:12" x14ac:dyDescent="0.25">
      <c r="F77">
        <v>21</v>
      </c>
      <c r="G77">
        <f>INDEX(PORTFOLIO!$B$17:$B$215,$F77)</f>
        <v>0</v>
      </c>
      <c r="H77" t="str">
        <f t="shared" si="6"/>
        <v/>
      </c>
      <c r="I77" s="4">
        <f>IF((G77&lt;&gt;"total")*(G77&lt;&gt;0),INDEX(PORTFOLIO!$H$17:$H$215,$F77),0)</f>
        <v>0</v>
      </c>
      <c r="J77" s="5">
        <f>LARGE($I$57:$I$156,ROWS($J$57:$J77))</f>
        <v>0</v>
      </c>
      <c r="K77">
        <f t="shared" si="7"/>
        <v>13</v>
      </c>
      <c r="L77" t="str">
        <f t="shared" si="8"/>
        <v/>
      </c>
    </row>
    <row r="78" spans="6:12" x14ac:dyDescent="0.25">
      <c r="F78">
        <v>22</v>
      </c>
      <c r="G78">
        <f>INDEX(PORTFOLIO!$B$17:$B$215,$F78)</f>
        <v>0</v>
      </c>
      <c r="H78" t="str">
        <f t="shared" si="6"/>
        <v/>
      </c>
      <c r="I78" s="4">
        <f>IF((G78&lt;&gt;"total")*(G78&lt;&gt;0),INDEX(PORTFOLIO!$H$17:$H$215,$F78),0)</f>
        <v>0</v>
      </c>
      <c r="J78" s="5">
        <f>LARGE($I$57:$I$156,ROWS($J$57:$J78))</f>
        <v>0</v>
      </c>
      <c r="K78">
        <f t="shared" si="7"/>
        <v>13</v>
      </c>
      <c r="L78" t="str">
        <f t="shared" si="8"/>
        <v/>
      </c>
    </row>
    <row r="79" spans="6:12" x14ac:dyDescent="0.25">
      <c r="F79">
        <v>23</v>
      </c>
      <c r="G79">
        <f>INDEX(PORTFOLIO!$B$17:$B$215,$F79)</f>
        <v>0</v>
      </c>
      <c r="H79" t="str">
        <f t="shared" si="6"/>
        <v/>
      </c>
      <c r="I79" s="4">
        <f>IF((G79&lt;&gt;"total")*(G79&lt;&gt;0),INDEX(PORTFOLIO!$H$17:$H$215,$F79),0)</f>
        <v>0</v>
      </c>
      <c r="J79" s="5">
        <f>LARGE($I$57:$I$156,ROWS($J$57:$J79))</f>
        <v>0</v>
      </c>
      <c r="K79">
        <f t="shared" si="7"/>
        <v>13</v>
      </c>
      <c r="L79" t="str">
        <f t="shared" si="8"/>
        <v/>
      </c>
    </row>
    <row r="80" spans="6:12" x14ac:dyDescent="0.25">
      <c r="F80">
        <v>24</v>
      </c>
      <c r="G80">
        <f>INDEX(PORTFOLIO!$B$17:$B$215,$F80)</f>
        <v>0</v>
      </c>
      <c r="H80" t="str">
        <f t="shared" si="6"/>
        <v/>
      </c>
      <c r="I80" s="4">
        <f>IF((G80&lt;&gt;"total")*(G80&lt;&gt;0),INDEX(PORTFOLIO!$H$17:$H$215,$F80),0)</f>
        <v>0</v>
      </c>
      <c r="J80" s="5">
        <f>LARGE($I$57:$I$156,ROWS($J$57:$J80))</f>
        <v>0</v>
      </c>
      <c r="K80">
        <f t="shared" si="7"/>
        <v>13</v>
      </c>
      <c r="L80" t="str">
        <f t="shared" si="8"/>
        <v/>
      </c>
    </row>
    <row r="81" spans="6:12" x14ac:dyDescent="0.25">
      <c r="F81">
        <v>25</v>
      </c>
      <c r="G81">
        <f>INDEX(PORTFOLIO!$B$17:$B$215,$F81)</f>
        <v>0</v>
      </c>
      <c r="H81" t="str">
        <f t="shared" si="6"/>
        <v/>
      </c>
      <c r="I81" s="4">
        <f>IF((G81&lt;&gt;"total")*(G81&lt;&gt;0),INDEX(PORTFOLIO!$H$17:$H$215,$F81),0)</f>
        <v>0</v>
      </c>
      <c r="J81" s="5">
        <f>LARGE($I$57:$I$156,ROWS($J$57:$J81))</f>
        <v>0</v>
      </c>
      <c r="K81">
        <f t="shared" si="7"/>
        <v>13</v>
      </c>
      <c r="L81" t="str">
        <f t="shared" si="8"/>
        <v/>
      </c>
    </row>
    <row r="82" spans="6:12" x14ac:dyDescent="0.25">
      <c r="F82">
        <v>26</v>
      </c>
      <c r="G82">
        <f>INDEX(PORTFOLIO!$B$17:$B$215,$F82)</f>
        <v>0</v>
      </c>
      <c r="H82" t="str">
        <f t="shared" si="6"/>
        <v/>
      </c>
      <c r="I82" s="4">
        <f>IF((G82&lt;&gt;"total")*(G82&lt;&gt;0),INDEX(PORTFOLIO!$H$17:$H$215,$F82),0)</f>
        <v>0</v>
      </c>
      <c r="J82" s="5">
        <f>LARGE($I$57:$I$156,ROWS($J$57:$J82))</f>
        <v>0</v>
      </c>
      <c r="K82">
        <f t="shared" si="7"/>
        <v>13</v>
      </c>
      <c r="L82" t="str">
        <f t="shared" si="8"/>
        <v/>
      </c>
    </row>
    <row r="83" spans="6:12" x14ac:dyDescent="0.25">
      <c r="F83">
        <v>27</v>
      </c>
      <c r="G83">
        <f>INDEX(PORTFOLIO!$B$17:$B$215,$F83)</f>
        <v>0</v>
      </c>
      <c r="H83" t="str">
        <f t="shared" si="6"/>
        <v/>
      </c>
      <c r="I83" s="4">
        <f>IF((G83&lt;&gt;"total")*(G83&lt;&gt;0),INDEX(PORTFOLIO!$H$17:$H$215,$F83),0)</f>
        <v>0</v>
      </c>
      <c r="J83" s="5">
        <f>LARGE($I$57:$I$156,ROWS($J$57:$J83))</f>
        <v>0</v>
      </c>
      <c r="K83">
        <f t="shared" si="7"/>
        <v>13</v>
      </c>
      <c r="L83" t="str">
        <f t="shared" si="8"/>
        <v/>
      </c>
    </row>
    <row r="84" spans="6:12" x14ac:dyDescent="0.25">
      <c r="F84">
        <v>28</v>
      </c>
      <c r="G84">
        <f>INDEX(PORTFOLIO!$B$17:$B$215,$F84)</f>
        <v>0</v>
      </c>
      <c r="H84" t="str">
        <f t="shared" si="6"/>
        <v/>
      </c>
      <c r="I84" s="4">
        <f>IF((G84&lt;&gt;"total")*(G84&lt;&gt;0),INDEX(PORTFOLIO!$H$17:$H$215,$F84),0)</f>
        <v>0</v>
      </c>
      <c r="J84" s="5">
        <f>LARGE($I$57:$I$156,ROWS($J$57:$J84))</f>
        <v>0</v>
      </c>
      <c r="K84">
        <f t="shared" si="7"/>
        <v>13</v>
      </c>
      <c r="L84" t="str">
        <f t="shared" si="8"/>
        <v/>
      </c>
    </row>
    <row r="85" spans="6:12" x14ac:dyDescent="0.25">
      <c r="F85">
        <v>29</v>
      </c>
      <c r="G85">
        <f>INDEX(PORTFOLIO!$B$17:$B$215,$F85)</f>
        <v>0</v>
      </c>
      <c r="H85" t="str">
        <f t="shared" si="6"/>
        <v/>
      </c>
      <c r="I85" s="4">
        <f>IF((G85&lt;&gt;"total")*(G85&lt;&gt;0),INDEX(PORTFOLIO!$H$17:$H$215,$F85),0)</f>
        <v>0</v>
      </c>
      <c r="J85" s="5">
        <f>LARGE($I$57:$I$156,ROWS($J$57:$J85))</f>
        <v>0</v>
      </c>
      <c r="K85">
        <f t="shared" si="7"/>
        <v>13</v>
      </c>
      <c r="L85" t="str">
        <f t="shared" si="8"/>
        <v/>
      </c>
    </row>
    <row r="86" spans="6:12" x14ac:dyDescent="0.25">
      <c r="F86">
        <v>30</v>
      </c>
      <c r="G86">
        <f>INDEX(PORTFOLIO!$B$17:$B$215,$F86)</f>
        <v>0</v>
      </c>
      <c r="H86" t="str">
        <f t="shared" si="6"/>
        <v/>
      </c>
      <c r="I86" s="4">
        <f>IF((G86&lt;&gt;"total")*(G86&lt;&gt;0),INDEX(PORTFOLIO!$H$17:$H$215,$F86),0)</f>
        <v>0</v>
      </c>
      <c r="J86" s="5">
        <f>LARGE($I$57:$I$156,ROWS($J$57:$J86))</f>
        <v>0</v>
      </c>
      <c r="K86">
        <f t="shared" si="7"/>
        <v>13</v>
      </c>
      <c r="L86" t="str">
        <f t="shared" si="8"/>
        <v/>
      </c>
    </row>
    <row r="87" spans="6:12" x14ac:dyDescent="0.25">
      <c r="F87">
        <v>31</v>
      </c>
      <c r="G87">
        <f>INDEX(PORTFOLIO!$B$17:$B$215,$F87)</f>
        <v>0</v>
      </c>
      <c r="H87" t="str">
        <f t="shared" si="6"/>
        <v/>
      </c>
      <c r="I87" s="4">
        <f>IF((G87&lt;&gt;"total")*(G87&lt;&gt;0),INDEX(PORTFOLIO!$H$17:$H$215,$F87),0)</f>
        <v>0</v>
      </c>
      <c r="J87" s="5">
        <f>LARGE($I$57:$I$156,ROWS($J$57:$J87))</f>
        <v>0</v>
      </c>
      <c r="K87">
        <f t="shared" si="7"/>
        <v>13</v>
      </c>
      <c r="L87" t="str">
        <f t="shared" si="8"/>
        <v/>
      </c>
    </row>
    <row r="88" spans="6:12" x14ac:dyDescent="0.25">
      <c r="F88">
        <v>32</v>
      </c>
      <c r="G88">
        <f>INDEX(PORTFOLIO!$B$17:$B$215,$F88)</f>
        <v>0</v>
      </c>
      <c r="H88" t="str">
        <f t="shared" si="6"/>
        <v/>
      </c>
      <c r="I88" s="4">
        <f>IF((G88&lt;&gt;"total")*(G88&lt;&gt;0),INDEX(PORTFOLIO!$H$17:$H$215,$F88),0)</f>
        <v>0</v>
      </c>
      <c r="J88" s="5">
        <f>LARGE($I$57:$I$156,ROWS($J$57:$J88))</f>
        <v>0</v>
      </c>
      <c r="K88">
        <f t="shared" si="7"/>
        <v>13</v>
      </c>
      <c r="L88" t="str">
        <f t="shared" si="8"/>
        <v/>
      </c>
    </row>
    <row r="89" spans="6:12" x14ac:dyDescent="0.25">
      <c r="F89">
        <v>33</v>
      </c>
      <c r="G89">
        <f>INDEX(PORTFOLIO!$B$17:$B$215,$F89)</f>
        <v>0</v>
      </c>
      <c r="H89" t="str">
        <f t="shared" si="6"/>
        <v/>
      </c>
      <c r="I89" s="4">
        <f>IF((G89&lt;&gt;"total")*(G89&lt;&gt;0),INDEX(PORTFOLIO!$H$17:$H$215,$F89),0)</f>
        <v>0</v>
      </c>
      <c r="J89" s="5">
        <f>LARGE($I$57:$I$156,ROWS($J$57:$J89))</f>
        <v>0</v>
      </c>
      <c r="K89">
        <f t="shared" si="7"/>
        <v>13</v>
      </c>
      <c r="L89" t="str">
        <f t="shared" si="8"/>
        <v/>
      </c>
    </row>
    <row r="90" spans="6:12" x14ac:dyDescent="0.25">
      <c r="F90">
        <v>34</v>
      </c>
      <c r="G90">
        <f>INDEX(PORTFOLIO!$B$17:$B$215,$F90)</f>
        <v>0</v>
      </c>
      <c r="H90" t="str">
        <f t="shared" si="6"/>
        <v/>
      </c>
      <c r="I90" s="4">
        <f>IF((G90&lt;&gt;"total")*(G90&lt;&gt;0),INDEX(PORTFOLIO!$H$17:$H$215,$F90),0)</f>
        <v>0</v>
      </c>
      <c r="J90" s="5">
        <f>LARGE($I$57:$I$156,ROWS($J$57:$J90))</f>
        <v>0</v>
      </c>
      <c r="K90">
        <f t="shared" si="7"/>
        <v>13</v>
      </c>
      <c r="L90" t="str">
        <f t="shared" si="8"/>
        <v/>
      </c>
    </row>
    <row r="91" spans="6:12" x14ac:dyDescent="0.25">
      <c r="F91">
        <v>35</v>
      </c>
      <c r="G91">
        <f>INDEX(PORTFOLIO!$B$17:$B$215,$F91)</f>
        <v>0</v>
      </c>
      <c r="H91" t="str">
        <f t="shared" si="6"/>
        <v/>
      </c>
      <c r="I91" s="4">
        <f>IF((G91&lt;&gt;"total")*(G91&lt;&gt;0),INDEX(PORTFOLIO!$H$17:$H$215,$F91),0)</f>
        <v>0</v>
      </c>
      <c r="J91" s="5">
        <f>LARGE($I$57:$I$156,ROWS($J$57:$J91))</f>
        <v>0</v>
      </c>
      <c r="K91">
        <f t="shared" si="7"/>
        <v>13</v>
      </c>
      <c r="L91" t="str">
        <f t="shared" si="8"/>
        <v/>
      </c>
    </row>
    <row r="92" spans="6:12" x14ac:dyDescent="0.25">
      <c r="F92">
        <v>36</v>
      </c>
      <c r="G92">
        <f>INDEX(PORTFOLIO!$B$17:$B$215,$F92)</f>
        <v>0</v>
      </c>
      <c r="H92" t="str">
        <f t="shared" si="6"/>
        <v/>
      </c>
      <c r="I92" s="4">
        <f>IF((G92&lt;&gt;"total")*(G92&lt;&gt;0),INDEX(PORTFOLIO!$H$17:$H$215,$F92),0)</f>
        <v>0</v>
      </c>
      <c r="J92" s="5">
        <f>LARGE($I$57:$I$156,ROWS($J$57:$J92))</f>
        <v>0</v>
      </c>
      <c r="K92">
        <f t="shared" si="7"/>
        <v>13</v>
      </c>
      <c r="L92" t="str">
        <f t="shared" si="8"/>
        <v/>
      </c>
    </row>
    <row r="93" spans="6:12" x14ac:dyDescent="0.25">
      <c r="F93">
        <v>37</v>
      </c>
      <c r="G93">
        <f>INDEX(PORTFOLIO!$B$17:$B$215,$F93)</f>
        <v>0</v>
      </c>
      <c r="H93" t="str">
        <f t="shared" si="6"/>
        <v/>
      </c>
      <c r="I93" s="4">
        <f>IF((G93&lt;&gt;"total")*(G93&lt;&gt;0),INDEX(PORTFOLIO!$H$17:$H$215,$F93),0)</f>
        <v>0</v>
      </c>
      <c r="J93" s="5">
        <f>LARGE($I$57:$I$156,ROWS($J$57:$J93))</f>
        <v>0</v>
      </c>
      <c r="K93">
        <f t="shared" si="7"/>
        <v>13</v>
      </c>
      <c r="L93" t="str">
        <f t="shared" si="8"/>
        <v/>
      </c>
    </row>
    <row r="94" spans="6:12" x14ac:dyDescent="0.25">
      <c r="F94">
        <v>38</v>
      </c>
      <c r="G94">
        <f>INDEX(PORTFOLIO!$B$17:$B$215,$F94)</f>
        <v>0</v>
      </c>
      <c r="H94" t="str">
        <f t="shared" si="6"/>
        <v/>
      </c>
      <c r="I94" s="4">
        <f>IF((G94&lt;&gt;"total")*(G94&lt;&gt;0),INDEX(PORTFOLIO!$H$17:$H$215,$F94),0)</f>
        <v>0</v>
      </c>
      <c r="J94" s="5">
        <f>LARGE($I$57:$I$156,ROWS($J$57:$J94))</f>
        <v>0</v>
      </c>
      <c r="K94">
        <f t="shared" si="7"/>
        <v>13</v>
      </c>
      <c r="L94" t="str">
        <f t="shared" si="8"/>
        <v/>
      </c>
    </row>
    <row r="95" spans="6:12" x14ac:dyDescent="0.25">
      <c r="F95">
        <v>39</v>
      </c>
      <c r="G95">
        <f>INDEX(PORTFOLIO!$B$17:$B$215,$F95)</f>
        <v>0</v>
      </c>
      <c r="H95" t="str">
        <f t="shared" si="6"/>
        <v/>
      </c>
      <c r="I95" s="4">
        <f>IF((G95&lt;&gt;"total")*(G95&lt;&gt;0),INDEX(PORTFOLIO!$H$17:$H$215,$F95),0)</f>
        <v>0</v>
      </c>
      <c r="J95" s="5">
        <f>LARGE($I$57:$I$156,ROWS($J$57:$J95))</f>
        <v>0</v>
      </c>
      <c r="K95">
        <f t="shared" si="7"/>
        <v>13</v>
      </c>
      <c r="L95" t="str">
        <f t="shared" si="8"/>
        <v/>
      </c>
    </row>
    <row r="96" spans="6:12" x14ac:dyDescent="0.25">
      <c r="F96">
        <v>40</v>
      </c>
      <c r="G96">
        <f>INDEX(PORTFOLIO!$B$17:$B$215,$F96)</f>
        <v>0</v>
      </c>
      <c r="H96" t="str">
        <f t="shared" si="6"/>
        <v/>
      </c>
      <c r="I96" s="4">
        <f>IF((G96&lt;&gt;"total")*(G96&lt;&gt;0),INDEX(PORTFOLIO!$H$17:$H$215,$F96),0)</f>
        <v>0</v>
      </c>
      <c r="J96" s="5">
        <f>LARGE($I$57:$I$156,ROWS($J$57:$J96))</f>
        <v>0</v>
      </c>
      <c r="K96">
        <f t="shared" si="7"/>
        <v>13</v>
      </c>
      <c r="L96" t="str">
        <f t="shared" si="8"/>
        <v/>
      </c>
    </row>
    <row r="97" spans="6:12" x14ac:dyDescent="0.25">
      <c r="F97">
        <v>41</v>
      </c>
      <c r="G97">
        <f>INDEX(PORTFOLIO!$B$17:$B$215,$F97)</f>
        <v>0</v>
      </c>
      <c r="H97" t="str">
        <f t="shared" si="6"/>
        <v/>
      </c>
      <c r="I97" s="4">
        <f>IF((G97&lt;&gt;"total")*(G97&lt;&gt;0),INDEX(PORTFOLIO!$H$17:$H$215,$F97),0)</f>
        <v>0</v>
      </c>
      <c r="J97" s="5">
        <f>LARGE($I$57:$I$156,ROWS($J$57:$J97))</f>
        <v>0</v>
      </c>
      <c r="K97">
        <f t="shared" si="7"/>
        <v>13</v>
      </c>
      <c r="L97" t="str">
        <f t="shared" si="8"/>
        <v/>
      </c>
    </row>
    <row r="98" spans="6:12" x14ac:dyDescent="0.25">
      <c r="F98">
        <v>42</v>
      </c>
      <c r="G98">
        <f>INDEX(PORTFOLIO!$B$17:$B$215,$F98)</f>
        <v>0</v>
      </c>
      <c r="H98" t="str">
        <f t="shared" si="6"/>
        <v/>
      </c>
      <c r="I98" s="4">
        <f>IF((G98&lt;&gt;"total")*(G98&lt;&gt;0),INDEX(PORTFOLIO!$H$17:$H$215,$F98),0)</f>
        <v>0</v>
      </c>
      <c r="J98" s="5">
        <f>LARGE($I$57:$I$156,ROWS($J$57:$J98))</f>
        <v>0</v>
      </c>
      <c r="K98">
        <f t="shared" si="7"/>
        <v>13</v>
      </c>
      <c r="L98" t="str">
        <f t="shared" si="8"/>
        <v/>
      </c>
    </row>
    <row r="99" spans="6:12" x14ac:dyDescent="0.25">
      <c r="F99">
        <v>43</v>
      </c>
      <c r="G99">
        <f>INDEX(PORTFOLIO!$B$17:$B$215,$F99)</f>
        <v>0</v>
      </c>
      <c r="H99" t="str">
        <f t="shared" si="6"/>
        <v/>
      </c>
      <c r="I99" s="4">
        <f>IF((G99&lt;&gt;"total")*(G99&lt;&gt;0),INDEX(PORTFOLIO!$H$17:$H$215,$F99),0)</f>
        <v>0</v>
      </c>
      <c r="J99" s="5">
        <f>LARGE($I$57:$I$156,ROWS($J$57:$J99))</f>
        <v>0</v>
      </c>
      <c r="K99">
        <f t="shared" si="7"/>
        <v>13</v>
      </c>
      <c r="L99" t="str">
        <f t="shared" si="8"/>
        <v/>
      </c>
    </row>
    <row r="100" spans="6:12" x14ac:dyDescent="0.25">
      <c r="F100">
        <v>44</v>
      </c>
      <c r="G100">
        <f>INDEX(PORTFOLIO!$B$17:$B$215,$F100)</f>
        <v>0</v>
      </c>
      <c r="H100" t="str">
        <f t="shared" si="6"/>
        <v/>
      </c>
      <c r="I100" s="4">
        <f>IF((G100&lt;&gt;"total")*(G100&lt;&gt;0),INDEX(PORTFOLIO!$H$17:$H$215,$F100),0)</f>
        <v>0</v>
      </c>
      <c r="J100" s="5">
        <f>LARGE($I$57:$I$156,ROWS($J$57:$J100))</f>
        <v>0</v>
      </c>
      <c r="K100">
        <f t="shared" si="7"/>
        <v>13</v>
      </c>
      <c r="L100" t="str">
        <f t="shared" si="8"/>
        <v/>
      </c>
    </row>
    <row r="101" spans="6:12" x14ac:dyDescent="0.25">
      <c r="F101">
        <v>45</v>
      </c>
      <c r="G101">
        <f>INDEX(PORTFOLIO!$B$17:$B$215,$F101)</f>
        <v>0</v>
      </c>
      <c r="H101" t="str">
        <f t="shared" si="6"/>
        <v/>
      </c>
      <c r="I101" s="4">
        <f>IF((G101&lt;&gt;"total")*(G101&lt;&gt;0),INDEX(PORTFOLIO!$H$17:$H$215,$F101),0)</f>
        <v>0</v>
      </c>
      <c r="J101" s="5">
        <f>LARGE($I$57:$I$156,ROWS($J$57:$J101))</f>
        <v>0</v>
      </c>
      <c r="K101">
        <f t="shared" si="7"/>
        <v>13</v>
      </c>
      <c r="L101" t="str">
        <f t="shared" si="8"/>
        <v/>
      </c>
    </row>
    <row r="102" spans="6:12" x14ac:dyDescent="0.25">
      <c r="F102">
        <v>46</v>
      </c>
      <c r="G102">
        <f>INDEX(PORTFOLIO!$B$17:$B$215,$F102)</f>
        <v>0</v>
      </c>
      <c r="H102" t="str">
        <f t="shared" si="6"/>
        <v/>
      </c>
      <c r="I102" s="4">
        <f>IF((G102&lt;&gt;"total")*(G102&lt;&gt;0),INDEX(PORTFOLIO!$H$17:$H$215,$F102),0)</f>
        <v>0</v>
      </c>
      <c r="J102" s="5">
        <f>LARGE($I$57:$I$156,ROWS($J$57:$J102))</f>
        <v>0</v>
      </c>
      <c r="K102">
        <f t="shared" si="7"/>
        <v>13</v>
      </c>
      <c r="L102" t="str">
        <f t="shared" si="8"/>
        <v/>
      </c>
    </row>
    <row r="103" spans="6:12" x14ac:dyDescent="0.25">
      <c r="F103">
        <v>47</v>
      </c>
      <c r="G103">
        <f>INDEX(PORTFOLIO!$B$17:$B$215,$F103)</f>
        <v>0</v>
      </c>
      <c r="H103" t="str">
        <f t="shared" si="6"/>
        <v/>
      </c>
      <c r="I103" s="4">
        <f>IF((G103&lt;&gt;"total")*(G103&lt;&gt;0),INDEX(PORTFOLIO!$H$17:$H$215,$F103),0)</f>
        <v>0</v>
      </c>
      <c r="J103" s="5">
        <f>LARGE($I$57:$I$156,ROWS($J$57:$J103))</f>
        <v>0</v>
      </c>
      <c r="K103">
        <f t="shared" si="7"/>
        <v>13</v>
      </c>
      <c r="L103" t="str">
        <f t="shared" si="8"/>
        <v/>
      </c>
    </row>
    <row r="104" spans="6:12" x14ac:dyDescent="0.25">
      <c r="F104">
        <v>48</v>
      </c>
      <c r="G104">
        <f>INDEX(PORTFOLIO!$B$17:$B$215,$F104)</f>
        <v>0</v>
      </c>
      <c r="H104" t="str">
        <f t="shared" si="6"/>
        <v/>
      </c>
      <c r="I104" s="4">
        <f>IF((G104&lt;&gt;"total")*(G104&lt;&gt;0),INDEX(PORTFOLIO!$H$17:$H$215,$F104),0)</f>
        <v>0</v>
      </c>
      <c r="J104" s="5">
        <f>LARGE($I$57:$I$156,ROWS($J$57:$J104))</f>
        <v>0</v>
      </c>
      <c r="K104">
        <f t="shared" si="7"/>
        <v>13</v>
      </c>
      <c r="L104" t="str">
        <f t="shared" si="8"/>
        <v/>
      </c>
    </row>
    <row r="105" spans="6:12" x14ac:dyDescent="0.25">
      <c r="F105">
        <v>49</v>
      </c>
      <c r="G105">
        <f>INDEX(PORTFOLIO!$B$17:$B$215,$F105)</f>
        <v>0</v>
      </c>
      <c r="H105" t="str">
        <f t="shared" si="6"/>
        <v/>
      </c>
      <c r="I105" s="4">
        <f>IF((G105&lt;&gt;"total")*(G105&lt;&gt;0),INDEX(PORTFOLIO!$H$17:$H$215,$F105),0)</f>
        <v>0</v>
      </c>
      <c r="J105" s="5">
        <f>LARGE($I$57:$I$156,ROWS($J$57:$J105))</f>
        <v>0</v>
      </c>
      <c r="K105">
        <f t="shared" si="7"/>
        <v>13</v>
      </c>
      <c r="L105" t="str">
        <f t="shared" si="8"/>
        <v/>
      </c>
    </row>
    <row r="106" spans="6:12" x14ac:dyDescent="0.25">
      <c r="F106">
        <v>50</v>
      </c>
      <c r="G106">
        <f>INDEX(PORTFOLIO!$B$17:$B$215,$F106)</f>
        <v>0</v>
      </c>
      <c r="H106" t="str">
        <f t="shared" si="6"/>
        <v/>
      </c>
      <c r="I106" s="4">
        <f>IF((G106&lt;&gt;"total")*(G106&lt;&gt;0),INDEX(PORTFOLIO!$H$17:$H$215,$F106),0)</f>
        <v>0</v>
      </c>
      <c r="J106" s="5">
        <f>LARGE($I$57:$I$156,ROWS($J$57:$J106))</f>
        <v>0</v>
      </c>
      <c r="K106">
        <f t="shared" si="7"/>
        <v>13</v>
      </c>
      <c r="L106" t="str">
        <f t="shared" si="8"/>
        <v/>
      </c>
    </row>
    <row r="107" spans="6:12" x14ac:dyDescent="0.25">
      <c r="F107">
        <v>51</v>
      </c>
      <c r="G107">
        <f>INDEX(PORTFOLIO!$B$17:$B$215,$F107)</f>
        <v>0</v>
      </c>
      <c r="H107" t="str">
        <f>REPT(G107,(G107&lt;&gt;"total")*(G107&lt;&gt;0))</f>
        <v/>
      </c>
      <c r="I107" s="4">
        <f>IF((G107&lt;&gt;"total")*(G107&lt;&gt;0),INDEX(PORTFOLIO!$H$17:$H$215,$F107),0)</f>
        <v>0</v>
      </c>
      <c r="J107" s="5">
        <f>LARGE($I$57:$I$156,ROWS($J$57:$J107))</f>
        <v>0</v>
      </c>
      <c r="K107">
        <f t="shared" si="7"/>
        <v>13</v>
      </c>
      <c r="L107" t="str">
        <f t="shared" si="8"/>
        <v/>
      </c>
    </row>
    <row r="108" spans="6:12" x14ac:dyDescent="0.25">
      <c r="F108">
        <v>52</v>
      </c>
      <c r="G108">
        <f>INDEX(PORTFOLIO!$B$17:$B$215,$F108)</f>
        <v>0</v>
      </c>
      <c r="H108" t="str">
        <f t="shared" ref="H108:H146" si="9">REPT(G108,(G108&lt;&gt;"total")*(G108&lt;&gt;0))</f>
        <v/>
      </c>
      <c r="I108" s="4">
        <f>IF((G108&lt;&gt;"total")*(G108&lt;&gt;0),INDEX(PORTFOLIO!$H$17:$H$215,$F108),0)</f>
        <v>0</v>
      </c>
      <c r="J108" s="5">
        <f>LARGE($I$57:$I$156,ROWS($J$57:$J108))</f>
        <v>0</v>
      </c>
      <c r="K108">
        <f t="shared" si="7"/>
        <v>13</v>
      </c>
      <c r="L108" t="str">
        <f t="shared" si="8"/>
        <v/>
      </c>
    </row>
    <row r="109" spans="6:12" x14ac:dyDescent="0.25">
      <c r="F109">
        <v>53</v>
      </c>
      <c r="G109">
        <f>INDEX(PORTFOLIO!$B$17:$B$215,$F109)</f>
        <v>0</v>
      </c>
      <c r="H109" t="str">
        <f t="shared" si="9"/>
        <v/>
      </c>
      <c r="I109" s="4">
        <f>IF((G109&lt;&gt;"total")*(G109&lt;&gt;0),INDEX(PORTFOLIO!$H$17:$H$215,$F109),0)</f>
        <v>0</v>
      </c>
      <c r="J109" s="5">
        <f>LARGE($I$57:$I$156,ROWS($J$57:$J109))</f>
        <v>0</v>
      </c>
      <c r="K109">
        <f t="shared" si="7"/>
        <v>13</v>
      </c>
      <c r="L109" t="str">
        <f t="shared" si="8"/>
        <v/>
      </c>
    </row>
    <row r="110" spans="6:12" x14ac:dyDescent="0.25">
      <c r="F110">
        <v>54</v>
      </c>
      <c r="G110">
        <f>INDEX(PORTFOLIO!$B$17:$B$215,$F110)</f>
        <v>0</v>
      </c>
      <c r="H110" t="str">
        <f t="shared" si="9"/>
        <v/>
      </c>
      <c r="I110" s="4">
        <f>IF((G110&lt;&gt;"total")*(G110&lt;&gt;0),INDEX(PORTFOLIO!$H$17:$H$215,$F110),0)</f>
        <v>0</v>
      </c>
      <c r="J110" s="5">
        <f>LARGE($I$57:$I$156,ROWS($J$57:$J110))</f>
        <v>0</v>
      </c>
      <c r="K110">
        <f t="shared" si="7"/>
        <v>13</v>
      </c>
      <c r="L110" t="str">
        <f t="shared" si="8"/>
        <v/>
      </c>
    </row>
    <row r="111" spans="6:12" x14ac:dyDescent="0.25">
      <c r="F111">
        <v>55</v>
      </c>
      <c r="G111">
        <f>INDEX(PORTFOLIO!$B$17:$B$215,$F111)</f>
        <v>0</v>
      </c>
      <c r="H111" t="str">
        <f t="shared" si="9"/>
        <v/>
      </c>
      <c r="I111" s="4">
        <f>IF((G111&lt;&gt;"total")*(G111&lt;&gt;0),INDEX(PORTFOLIO!$H$17:$H$215,$F111),0)</f>
        <v>0</v>
      </c>
      <c r="J111" s="5">
        <f>LARGE($I$57:$I$156,ROWS($J$57:$J111))</f>
        <v>0</v>
      </c>
      <c r="K111">
        <f t="shared" si="7"/>
        <v>13</v>
      </c>
      <c r="L111" t="str">
        <f t="shared" si="8"/>
        <v/>
      </c>
    </row>
    <row r="112" spans="6:12" x14ac:dyDescent="0.25">
      <c r="F112">
        <v>56</v>
      </c>
      <c r="G112">
        <f>INDEX(PORTFOLIO!$B$17:$B$215,$F112)</f>
        <v>0</v>
      </c>
      <c r="H112" t="str">
        <f t="shared" si="9"/>
        <v/>
      </c>
      <c r="I112" s="4">
        <f>IF((G112&lt;&gt;"total")*(G112&lt;&gt;0),INDEX(PORTFOLIO!$H$17:$H$215,$F112),0)</f>
        <v>0</v>
      </c>
      <c r="J112" s="5">
        <f>LARGE($I$57:$I$156,ROWS($J$57:$J112))</f>
        <v>0</v>
      </c>
      <c r="K112">
        <f t="shared" si="7"/>
        <v>13</v>
      </c>
      <c r="L112" t="str">
        <f t="shared" si="8"/>
        <v/>
      </c>
    </row>
    <row r="113" spans="6:12" x14ac:dyDescent="0.25">
      <c r="F113">
        <v>57</v>
      </c>
      <c r="G113">
        <f>INDEX(PORTFOLIO!$B$17:$B$215,$F113)</f>
        <v>0</v>
      </c>
      <c r="H113" t="str">
        <f t="shared" si="9"/>
        <v/>
      </c>
      <c r="I113" s="4">
        <f>IF((G113&lt;&gt;"total")*(G113&lt;&gt;0),INDEX(PORTFOLIO!$H$17:$H$215,$F113),0)</f>
        <v>0</v>
      </c>
      <c r="J113" s="5">
        <f>LARGE($I$57:$I$156,ROWS($J$57:$J113))</f>
        <v>0</v>
      </c>
      <c r="K113">
        <f t="shared" si="7"/>
        <v>13</v>
      </c>
      <c r="L113" t="str">
        <f t="shared" si="8"/>
        <v/>
      </c>
    </row>
    <row r="114" spans="6:12" x14ac:dyDescent="0.25">
      <c r="F114">
        <v>58</v>
      </c>
      <c r="G114">
        <f>INDEX(PORTFOLIO!$B$17:$B$215,$F114)</f>
        <v>0</v>
      </c>
      <c r="H114" t="str">
        <f t="shared" si="9"/>
        <v/>
      </c>
      <c r="I114" s="4">
        <f>IF((G114&lt;&gt;"total")*(G114&lt;&gt;0),INDEX(PORTFOLIO!$H$17:$H$215,$F114),0)</f>
        <v>0</v>
      </c>
      <c r="J114" s="5">
        <f>LARGE($I$57:$I$156,ROWS($J$57:$J114))</f>
        <v>0</v>
      </c>
      <c r="K114">
        <f t="shared" si="7"/>
        <v>13</v>
      </c>
      <c r="L114" t="str">
        <f t="shared" si="8"/>
        <v/>
      </c>
    </row>
    <row r="115" spans="6:12" x14ac:dyDescent="0.25">
      <c r="F115">
        <v>59</v>
      </c>
      <c r="G115">
        <f>INDEX(PORTFOLIO!$B$17:$B$215,$F115)</f>
        <v>0</v>
      </c>
      <c r="H115" t="str">
        <f t="shared" si="9"/>
        <v/>
      </c>
      <c r="I115" s="4">
        <f>IF((G115&lt;&gt;"total")*(G115&lt;&gt;0),INDEX(PORTFOLIO!$H$17:$H$215,$F115),0)</f>
        <v>0</v>
      </c>
      <c r="J115" s="5">
        <f>LARGE($I$57:$I$156,ROWS($J$57:$J115))</f>
        <v>0</v>
      </c>
      <c r="K115">
        <f t="shared" si="7"/>
        <v>13</v>
      </c>
      <c r="L115" t="str">
        <f t="shared" si="8"/>
        <v/>
      </c>
    </row>
    <row r="116" spans="6:12" x14ac:dyDescent="0.25">
      <c r="F116">
        <v>60</v>
      </c>
      <c r="G116">
        <f>INDEX(PORTFOLIO!$B$17:$B$215,$F116)</f>
        <v>0</v>
      </c>
      <c r="H116" t="str">
        <f t="shared" si="9"/>
        <v/>
      </c>
      <c r="I116" s="4">
        <f>IF((G116&lt;&gt;"total")*(G116&lt;&gt;0),INDEX(PORTFOLIO!$H$17:$H$215,$F116),0)</f>
        <v>0</v>
      </c>
      <c r="J116" s="5">
        <f>LARGE($I$57:$I$156,ROWS($J$57:$J116))</f>
        <v>0</v>
      </c>
      <c r="K116">
        <f t="shared" si="7"/>
        <v>13</v>
      </c>
      <c r="L116" t="str">
        <f t="shared" si="8"/>
        <v/>
      </c>
    </row>
    <row r="117" spans="6:12" x14ac:dyDescent="0.25">
      <c r="F117">
        <v>61</v>
      </c>
      <c r="G117">
        <f>INDEX(PORTFOLIO!$B$17:$B$215,$F117)</f>
        <v>0</v>
      </c>
      <c r="H117" t="str">
        <f t="shared" si="9"/>
        <v/>
      </c>
      <c r="I117" s="4">
        <f>IF((G117&lt;&gt;"total")*(G117&lt;&gt;0),INDEX(PORTFOLIO!$H$17:$H$215,$F117),0)</f>
        <v>0</v>
      </c>
      <c r="J117" s="5">
        <f>LARGE($I$57:$I$156,ROWS($J$57:$J117))</f>
        <v>0</v>
      </c>
      <c r="K117">
        <f t="shared" si="7"/>
        <v>13</v>
      </c>
      <c r="L117" t="str">
        <f t="shared" si="8"/>
        <v/>
      </c>
    </row>
    <row r="118" spans="6:12" x14ac:dyDescent="0.25">
      <c r="F118">
        <v>62</v>
      </c>
      <c r="G118">
        <f>INDEX(PORTFOLIO!$B$17:$B$215,$F118)</f>
        <v>0</v>
      </c>
      <c r="H118" t="str">
        <f t="shared" si="9"/>
        <v/>
      </c>
      <c r="I118" s="4">
        <f>IF((G118&lt;&gt;"total")*(G118&lt;&gt;0),INDEX(PORTFOLIO!$H$17:$H$215,$F118),0)</f>
        <v>0</v>
      </c>
      <c r="J118" s="5">
        <f>LARGE($I$57:$I$156,ROWS($J$57:$J118))</f>
        <v>0</v>
      </c>
      <c r="K118">
        <f t="shared" si="7"/>
        <v>13</v>
      </c>
      <c r="L118" t="str">
        <f t="shared" si="8"/>
        <v/>
      </c>
    </row>
    <row r="119" spans="6:12" x14ac:dyDescent="0.25">
      <c r="F119">
        <v>63</v>
      </c>
      <c r="G119">
        <f>INDEX(PORTFOLIO!$B$17:$B$215,$F119)</f>
        <v>0</v>
      </c>
      <c r="H119" t="str">
        <f t="shared" si="9"/>
        <v/>
      </c>
      <c r="I119" s="4">
        <f>IF((G119&lt;&gt;"total")*(G119&lt;&gt;0),INDEX(PORTFOLIO!$H$17:$H$215,$F119),0)</f>
        <v>0</v>
      </c>
      <c r="J119" s="5">
        <f>LARGE($I$57:$I$156,ROWS($J$57:$J119))</f>
        <v>0</v>
      </c>
      <c r="K119">
        <f t="shared" si="7"/>
        <v>13</v>
      </c>
      <c r="L119" t="str">
        <f t="shared" si="8"/>
        <v/>
      </c>
    </row>
    <row r="120" spans="6:12" x14ac:dyDescent="0.25">
      <c r="F120">
        <v>64</v>
      </c>
      <c r="G120">
        <f>INDEX(PORTFOLIO!$B$17:$B$215,$F120)</f>
        <v>0</v>
      </c>
      <c r="H120" t="str">
        <f t="shared" si="9"/>
        <v/>
      </c>
      <c r="I120" s="4">
        <f>IF((G120&lt;&gt;"total")*(G120&lt;&gt;0),INDEX(PORTFOLIO!$H$17:$H$215,$F120),0)</f>
        <v>0</v>
      </c>
      <c r="J120" s="5">
        <f>LARGE($I$57:$I$156,ROWS($J$57:$J120))</f>
        <v>0</v>
      </c>
      <c r="K120">
        <f t="shared" si="7"/>
        <v>13</v>
      </c>
      <c r="L120" t="str">
        <f t="shared" si="8"/>
        <v/>
      </c>
    </row>
    <row r="121" spans="6:12" x14ac:dyDescent="0.25">
      <c r="F121">
        <v>65</v>
      </c>
      <c r="G121">
        <f>INDEX(PORTFOLIO!$B$17:$B$215,$F121)</f>
        <v>0</v>
      </c>
      <c r="H121" t="str">
        <f t="shared" si="9"/>
        <v/>
      </c>
      <c r="I121" s="4">
        <f>IF((G121&lt;&gt;"total")*(G121&lt;&gt;0),INDEX(PORTFOLIO!$H$17:$H$215,$F121),0)</f>
        <v>0</v>
      </c>
      <c r="J121" s="5">
        <f>LARGE($I$57:$I$156,ROWS($J$57:$J121))</f>
        <v>0</v>
      </c>
      <c r="K121">
        <f t="shared" si="7"/>
        <v>13</v>
      </c>
      <c r="L121" t="str">
        <f t="shared" si="8"/>
        <v/>
      </c>
    </row>
    <row r="122" spans="6:12" x14ac:dyDescent="0.25">
      <c r="F122">
        <v>66</v>
      </c>
      <c r="G122">
        <f>INDEX(PORTFOLIO!$B$17:$B$215,$F122)</f>
        <v>0</v>
      </c>
      <c r="H122" t="str">
        <f t="shared" si="9"/>
        <v/>
      </c>
      <c r="I122" s="4">
        <f>IF((G122&lt;&gt;"total")*(G122&lt;&gt;0),INDEX(PORTFOLIO!$H$17:$H$215,$F122),0)</f>
        <v>0</v>
      </c>
      <c r="J122" s="5">
        <f>LARGE($I$57:$I$156,ROWS($J$57:$J122))</f>
        <v>0</v>
      </c>
      <c r="K122">
        <f t="shared" ref="K122:K156" si="10">MATCH(J122,$I$57:$I$156,0)</f>
        <v>13</v>
      </c>
      <c r="L122" t="str">
        <f t="shared" ref="L122:L156" si="11">INDEX($H$57:$H$156,K122)</f>
        <v/>
      </c>
    </row>
    <row r="123" spans="6:12" x14ac:dyDescent="0.25">
      <c r="F123">
        <v>67</v>
      </c>
      <c r="G123">
        <f>INDEX(PORTFOLIO!$B$17:$B$215,$F123)</f>
        <v>0</v>
      </c>
      <c r="H123" t="str">
        <f t="shared" si="9"/>
        <v/>
      </c>
      <c r="I123" s="4">
        <f>IF((G123&lt;&gt;"total")*(G123&lt;&gt;0),INDEX(PORTFOLIO!$H$17:$H$215,$F123),0)</f>
        <v>0</v>
      </c>
      <c r="J123" s="5">
        <f>LARGE($I$57:$I$156,ROWS($J$57:$J123))</f>
        <v>0</v>
      </c>
      <c r="K123">
        <f t="shared" si="10"/>
        <v>13</v>
      </c>
      <c r="L123" t="str">
        <f t="shared" si="11"/>
        <v/>
      </c>
    </row>
    <row r="124" spans="6:12" x14ac:dyDescent="0.25">
      <c r="F124">
        <v>68</v>
      </c>
      <c r="G124">
        <f>INDEX(PORTFOLIO!$B$17:$B$215,$F124)</f>
        <v>0</v>
      </c>
      <c r="H124" t="str">
        <f t="shared" si="9"/>
        <v/>
      </c>
      <c r="I124" s="4">
        <f>IF((G124&lt;&gt;"total")*(G124&lt;&gt;0),INDEX(PORTFOLIO!$H$17:$H$215,$F124),0)</f>
        <v>0</v>
      </c>
      <c r="J124" s="5">
        <f>LARGE($I$57:$I$156,ROWS($J$57:$J124))</f>
        <v>0</v>
      </c>
      <c r="K124">
        <f t="shared" si="10"/>
        <v>13</v>
      </c>
      <c r="L124" t="str">
        <f t="shared" si="11"/>
        <v/>
      </c>
    </row>
    <row r="125" spans="6:12" x14ac:dyDescent="0.25">
      <c r="F125">
        <v>69</v>
      </c>
      <c r="G125">
        <f>INDEX(PORTFOLIO!$B$17:$B$215,$F125)</f>
        <v>0</v>
      </c>
      <c r="H125" t="str">
        <f t="shared" si="9"/>
        <v/>
      </c>
      <c r="I125" s="4">
        <f>IF((G125&lt;&gt;"total")*(G125&lt;&gt;0),INDEX(PORTFOLIO!$H$17:$H$215,$F125),0)</f>
        <v>0</v>
      </c>
      <c r="J125" s="5">
        <f>LARGE($I$57:$I$156,ROWS($J$57:$J125))</f>
        <v>0</v>
      </c>
      <c r="K125">
        <f t="shared" si="10"/>
        <v>13</v>
      </c>
      <c r="L125" t="str">
        <f t="shared" si="11"/>
        <v/>
      </c>
    </row>
    <row r="126" spans="6:12" x14ac:dyDescent="0.25">
      <c r="F126">
        <v>70</v>
      </c>
      <c r="G126">
        <f>INDEX(PORTFOLIO!$B$17:$B$215,$F126)</f>
        <v>0</v>
      </c>
      <c r="H126" t="str">
        <f t="shared" si="9"/>
        <v/>
      </c>
      <c r="I126" s="4">
        <f>IF((G126&lt;&gt;"total")*(G126&lt;&gt;0),INDEX(PORTFOLIO!$H$17:$H$215,$F126),0)</f>
        <v>0</v>
      </c>
      <c r="J126" s="5">
        <f>LARGE($I$57:$I$156,ROWS($J$57:$J126))</f>
        <v>0</v>
      </c>
      <c r="K126">
        <f t="shared" si="10"/>
        <v>13</v>
      </c>
      <c r="L126" t="str">
        <f t="shared" si="11"/>
        <v/>
      </c>
    </row>
    <row r="127" spans="6:12" x14ac:dyDescent="0.25">
      <c r="F127">
        <v>71</v>
      </c>
      <c r="G127">
        <f>INDEX(PORTFOLIO!$B$17:$B$215,$F127)</f>
        <v>0</v>
      </c>
      <c r="H127" t="str">
        <f t="shared" si="9"/>
        <v/>
      </c>
      <c r="I127" s="4">
        <f>IF((G127&lt;&gt;"total")*(G127&lt;&gt;0),INDEX(PORTFOLIO!$H$17:$H$215,$F127),0)</f>
        <v>0</v>
      </c>
      <c r="J127" s="5">
        <f>LARGE($I$57:$I$156,ROWS($J$57:$J127))</f>
        <v>0</v>
      </c>
      <c r="K127">
        <f t="shared" si="10"/>
        <v>13</v>
      </c>
      <c r="L127" t="str">
        <f t="shared" si="11"/>
        <v/>
      </c>
    </row>
    <row r="128" spans="6:12" x14ac:dyDescent="0.25">
      <c r="F128">
        <v>72</v>
      </c>
      <c r="G128">
        <f>INDEX(PORTFOLIO!$B$17:$B$215,$F128)</f>
        <v>0</v>
      </c>
      <c r="H128" t="str">
        <f t="shared" si="9"/>
        <v/>
      </c>
      <c r="I128" s="4">
        <f>IF((G128&lt;&gt;"total")*(G128&lt;&gt;0),INDEX(PORTFOLIO!$H$17:$H$215,$F128),0)</f>
        <v>0</v>
      </c>
      <c r="J128" s="5">
        <f>LARGE($I$57:$I$156,ROWS($J$57:$J128))</f>
        <v>0</v>
      </c>
      <c r="K128">
        <f t="shared" si="10"/>
        <v>13</v>
      </c>
      <c r="L128" t="str">
        <f t="shared" si="11"/>
        <v/>
      </c>
    </row>
    <row r="129" spans="6:12" x14ac:dyDescent="0.25">
      <c r="F129">
        <v>73</v>
      </c>
      <c r="G129">
        <f>INDEX(PORTFOLIO!$B$17:$B$215,$F129)</f>
        <v>0</v>
      </c>
      <c r="H129" t="str">
        <f t="shared" si="9"/>
        <v/>
      </c>
      <c r="I129" s="4">
        <f>IF((G129&lt;&gt;"total")*(G129&lt;&gt;0),INDEX(PORTFOLIO!$H$17:$H$215,$F129),0)</f>
        <v>0</v>
      </c>
      <c r="J129" s="5">
        <f>LARGE($I$57:$I$156,ROWS($J$57:$J129))</f>
        <v>0</v>
      </c>
      <c r="K129">
        <f t="shared" si="10"/>
        <v>13</v>
      </c>
      <c r="L129" t="str">
        <f t="shared" si="11"/>
        <v/>
      </c>
    </row>
    <row r="130" spans="6:12" x14ac:dyDescent="0.25">
      <c r="F130">
        <v>74</v>
      </c>
      <c r="G130">
        <f>INDEX(PORTFOLIO!$B$17:$B$215,$F130)</f>
        <v>0</v>
      </c>
      <c r="H130" t="str">
        <f t="shared" si="9"/>
        <v/>
      </c>
      <c r="I130" s="4">
        <f>IF((G130&lt;&gt;"total")*(G130&lt;&gt;0),INDEX(PORTFOLIO!$H$17:$H$215,$F130),0)</f>
        <v>0</v>
      </c>
      <c r="J130" s="5">
        <f>LARGE($I$57:$I$156,ROWS($J$57:$J130))</f>
        <v>0</v>
      </c>
      <c r="K130">
        <f t="shared" si="10"/>
        <v>13</v>
      </c>
      <c r="L130" t="str">
        <f t="shared" si="11"/>
        <v/>
      </c>
    </row>
    <row r="131" spans="6:12" x14ac:dyDescent="0.25">
      <c r="F131">
        <v>75</v>
      </c>
      <c r="G131">
        <f>INDEX(PORTFOLIO!$B$17:$B$215,$F131)</f>
        <v>0</v>
      </c>
      <c r="H131" t="str">
        <f t="shared" si="9"/>
        <v/>
      </c>
      <c r="I131" s="4">
        <f>IF((G131&lt;&gt;"total")*(G131&lt;&gt;0),INDEX(PORTFOLIO!$H$17:$H$215,$F131),0)</f>
        <v>0</v>
      </c>
      <c r="J131" s="5">
        <f>LARGE($I$57:$I$156,ROWS($J$57:$J131))</f>
        <v>0</v>
      </c>
      <c r="K131">
        <f t="shared" si="10"/>
        <v>13</v>
      </c>
      <c r="L131" t="str">
        <f t="shared" si="11"/>
        <v/>
      </c>
    </row>
    <row r="132" spans="6:12" x14ac:dyDescent="0.25">
      <c r="F132">
        <v>76</v>
      </c>
      <c r="G132">
        <f>INDEX(PORTFOLIO!$B$17:$B$215,$F132)</f>
        <v>0</v>
      </c>
      <c r="H132" t="str">
        <f t="shared" si="9"/>
        <v/>
      </c>
      <c r="I132" s="4">
        <f>IF((G132&lt;&gt;"total")*(G132&lt;&gt;0),INDEX(PORTFOLIO!$H$17:$H$215,$F132),0)</f>
        <v>0</v>
      </c>
      <c r="J132" s="5">
        <f>LARGE($I$57:$I$156,ROWS($J$57:$J132))</f>
        <v>0</v>
      </c>
      <c r="K132">
        <f t="shared" si="10"/>
        <v>13</v>
      </c>
      <c r="L132" t="str">
        <f t="shared" si="11"/>
        <v/>
      </c>
    </row>
    <row r="133" spans="6:12" x14ac:dyDescent="0.25">
      <c r="F133">
        <v>77</v>
      </c>
      <c r="G133">
        <f>INDEX(PORTFOLIO!$B$17:$B$215,$F133)</f>
        <v>0</v>
      </c>
      <c r="H133" t="str">
        <f t="shared" si="9"/>
        <v/>
      </c>
      <c r="I133" s="4">
        <f>IF((G133&lt;&gt;"total")*(G133&lt;&gt;0),INDEX(PORTFOLIO!$H$17:$H$215,$F133),0)</f>
        <v>0</v>
      </c>
      <c r="J133" s="5">
        <f>LARGE($I$57:$I$156,ROWS($J$57:$J133))</f>
        <v>0</v>
      </c>
      <c r="K133">
        <f t="shared" si="10"/>
        <v>13</v>
      </c>
      <c r="L133" t="str">
        <f t="shared" si="11"/>
        <v/>
      </c>
    </row>
    <row r="134" spans="6:12" x14ac:dyDescent="0.25">
      <c r="F134">
        <v>78</v>
      </c>
      <c r="G134">
        <f>INDEX(PORTFOLIO!$B$17:$B$215,$F134)</f>
        <v>0</v>
      </c>
      <c r="H134" t="str">
        <f t="shared" si="9"/>
        <v/>
      </c>
      <c r="I134" s="4">
        <f>IF((G134&lt;&gt;"total")*(G134&lt;&gt;0),INDEX(PORTFOLIO!$H$17:$H$215,$F134),0)</f>
        <v>0</v>
      </c>
      <c r="J134" s="5">
        <f>LARGE($I$57:$I$156,ROWS($J$57:$J134))</f>
        <v>0</v>
      </c>
      <c r="K134">
        <f t="shared" si="10"/>
        <v>13</v>
      </c>
      <c r="L134" t="str">
        <f t="shared" si="11"/>
        <v/>
      </c>
    </row>
    <row r="135" spans="6:12" x14ac:dyDescent="0.25">
      <c r="F135">
        <v>79</v>
      </c>
      <c r="G135">
        <f>INDEX(PORTFOLIO!$B$17:$B$215,$F135)</f>
        <v>0</v>
      </c>
      <c r="H135" t="str">
        <f t="shared" si="9"/>
        <v/>
      </c>
      <c r="I135" s="4">
        <f>IF((G135&lt;&gt;"total")*(G135&lt;&gt;0),INDEX(PORTFOLIO!$H$17:$H$215,$F135),0)</f>
        <v>0</v>
      </c>
      <c r="J135" s="5">
        <f>LARGE($I$57:$I$156,ROWS($J$57:$J135))</f>
        <v>0</v>
      </c>
      <c r="K135">
        <f t="shared" si="10"/>
        <v>13</v>
      </c>
      <c r="L135" t="str">
        <f t="shared" si="11"/>
        <v/>
      </c>
    </row>
    <row r="136" spans="6:12" x14ac:dyDescent="0.25">
      <c r="F136">
        <v>80</v>
      </c>
      <c r="G136">
        <f>INDEX(PORTFOLIO!$B$17:$B$215,$F136)</f>
        <v>0</v>
      </c>
      <c r="H136" t="str">
        <f t="shared" si="9"/>
        <v/>
      </c>
      <c r="I136" s="4">
        <f>IF((G136&lt;&gt;"total")*(G136&lt;&gt;0),INDEX(PORTFOLIO!$H$17:$H$215,$F136),0)</f>
        <v>0</v>
      </c>
      <c r="J136" s="5">
        <f>LARGE($I$57:$I$156,ROWS($J$57:$J136))</f>
        <v>0</v>
      </c>
      <c r="K136">
        <f t="shared" si="10"/>
        <v>13</v>
      </c>
      <c r="L136" t="str">
        <f t="shared" si="11"/>
        <v/>
      </c>
    </row>
    <row r="137" spans="6:12" x14ac:dyDescent="0.25">
      <c r="F137">
        <v>81</v>
      </c>
      <c r="G137">
        <f>INDEX(PORTFOLIO!$B$17:$B$215,$F137)</f>
        <v>0</v>
      </c>
      <c r="H137" t="str">
        <f t="shared" si="9"/>
        <v/>
      </c>
      <c r="I137" s="4">
        <f>IF((G137&lt;&gt;"total")*(G137&lt;&gt;0),INDEX(PORTFOLIO!$H$17:$H$215,$F137),0)</f>
        <v>0</v>
      </c>
      <c r="J137" s="5">
        <f>LARGE($I$57:$I$156,ROWS($J$57:$J137))</f>
        <v>0</v>
      </c>
      <c r="K137">
        <f t="shared" si="10"/>
        <v>13</v>
      </c>
      <c r="L137" t="str">
        <f t="shared" si="11"/>
        <v/>
      </c>
    </row>
    <row r="138" spans="6:12" x14ac:dyDescent="0.25">
      <c r="F138">
        <v>82</v>
      </c>
      <c r="G138">
        <f>INDEX(PORTFOLIO!$B$17:$B$215,$F138)</f>
        <v>0</v>
      </c>
      <c r="H138" t="str">
        <f t="shared" si="9"/>
        <v/>
      </c>
      <c r="I138" s="4">
        <f>IF((G138&lt;&gt;"total")*(G138&lt;&gt;0),INDEX(PORTFOLIO!$H$17:$H$215,$F138),0)</f>
        <v>0</v>
      </c>
      <c r="J138" s="5">
        <f>LARGE($I$57:$I$156,ROWS($J$57:$J138))</f>
        <v>0</v>
      </c>
      <c r="K138">
        <f t="shared" si="10"/>
        <v>13</v>
      </c>
      <c r="L138" t="str">
        <f t="shared" si="11"/>
        <v/>
      </c>
    </row>
    <row r="139" spans="6:12" x14ac:dyDescent="0.25">
      <c r="F139">
        <v>83</v>
      </c>
      <c r="G139">
        <f>INDEX(PORTFOLIO!$B$17:$B$215,$F139)</f>
        <v>0</v>
      </c>
      <c r="H139" t="str">
        <f t="shared" si="9"/>
        <v/>
      </c>
      <c r="I139" s="4">
        <f>IF((G139&lt;&gt;"total")*(G139&lt;&gt;0),INDEX(PORTFOLIO!$H$17:$H$215,$F139),0)</f>
        <v>0</v>
      </c>
      <c r="J139" s="5">
        <f>LARGE($I$57:$I$156,ROWS($J$57:$J139))</f>
        <v>0</v>
      </c>
      <c r="K139">
        <f t="shared" si="10"/>
        <v>13</v>
      </c>
      <c r="L139" t="str">
        <f t="shared" si="11"/>
        <v/>
      </c>
    </row>
    <row r="140" spans="6:12" x14ac:dyDescent="0.25">
      <c r="F140">
        <v>84</v>
      </c>
      <c r="G140">
        <f>INDEX(PORTFOLIO!$B$17:$B$215,$F140)</f>
        <v>0</v>
      </c>
      <c r="H140" t="str">
        <f t="shared" si="9"/>
        <v/>
      </c>
      <c r="I140" s="4">
        <f>IF((G140&lt;&gt;"total")*(G140&lt;&gt;0),INDEX(PORTFOLIO!$H$17:$H$215,$F140),0)</f>
        <v>0</v>
      </c>
      <c r="J140" s="5">
        <f>LARGE($I$57:$I$156,ROWS($J$57:$J140))</f>
        <v>0</v>
      </c>
      <c r="K140">
        <f t="shared" si="10"/>
        <v>13</v>
      </c>
      <c r="L140" t="str">
        <f t="shared" si="11"/>
        <v/>
      </c>
    </row>
    <row r="141" spans="6:12" x14ac:dyDescent="0.25">
      <c r="F141">
        <v>85</v>
      </c>
      <c r="G141">
        <f>INDEX(PORTFOLIO!$B$17:$B$215,$F141)</f>
        <v>0</v>
      </c>
      <c r="H141" t="str">
        <f t="shared" si="9"/>
        <v/>
      </c>
      <c r="I141" s="4">
        <f>IF((G141&lt;&gt;"total")*(G141&lt;&gt;0),INDEX(PORTFOLIO!$H$17:$H$215,$F141),0)</f>
        <v>0</v>
      </c>
      <c r="J141" s="5">
        <f>LARGE($I$57:$I$156,ROWS($J$57:$J141))</f>
        <v>0</v>
      </c>
      <c r="K141">
        <f t="shared" si="10"/>
        <v>13</v>
      </c>
      <c r="L141" t="str">
        <f t="shared" si="11"/>
        <v/>
      </c>
    </row>
    <row r="142" spans="6:12" x14ac:dyDescent="0.25">
      <c r="F142">
        <v>86</v>
      </c>
      <c r="G142">
        <f>INDEX(PORTFOLIO!$B$17:$B$215,$F142)</f>
        <v>0</v>
      </c>
      <c r="H142" t="str">
        <f t="shared" si="9"/>
        <v/>
      </c>
      <c r="I142" s="4">
        <f>IF((G142&lt;&gt;"total")*(G142&lt;&gt;0),INDEX(PORTFOLIO!$H$17:$H$215,$F142),0)</f>
        <v>0</v>
      </c>
      <c r="J142" s="5">
        <f>LARGE($I$57:$I$156,ROWS($J$57:$J142))</f>
        <v>0</v>
      </c>
      <c r="K142">
        <f t="shared" si="10"/>
        <v>13</v>
      </c>
      <c r="L142" t="str">
        <f t="shared" si="11"/>
        <v/>
      </c>
    </row>
    <row r="143" spans="6:12" x14ac:dyDescent="0.25">
      <c r="F143">
        <v>87</v>
      </c>
      <c r="G143">
        <f>INDEX(PORTFOLIO!$B$17:$B$215,$F143)</f>
        <v>0</v>
      </c>
      <c r="H143" t="str">
        <f t="shared" si="9"/>
        <v/>
      </c>
      <c r="I143" s="4">
        <f>IF((G143&lt;&gt;"total")*(G143&lt;&gt;0),INDEX(PORTFOLIO!$H$17:$H$215,$F143),0)</f>
        <v>0</v>
      </c>
      <c r="J143" s="5">
        <f>LARGE($I$57:$I$156,ROWS($J$57:$J143))</f>
        <v>0</v>
      </c>
      <c r="K143">
        <f t="shared" si="10"/>
        <v>13</v>
      </c>
      <c r="L143" t="str">
        <f t="shared" si="11"/>
        <v/>
      </c>
    </row>
    <row r="144" spans="6:12" x14ac:dyDescent="0.25">
      <c r="F144">
        <v>88</v>
      </c>
      <c r="G144">
        <f>INDEX(PORTFOLIO!$B$17:$B$215,$F144)</f>
        <v>0</v>
      </c>
      <c r="H144" t="str">
        <f t="shared" si="9"/>
        <v/>
      </c>
      <c r="I144" s="4">
        <f>IF((G144&lt;&gt;"total")*(G144&lt;&gt;0),INDEX(PORTFOLIO!$H$17:$H$215,$F144),0)</f>
        <v>0</v>
      </c>
      <c r="J144" s="5">
        <f>LARGE($I$57:$I$156,ROWS($J$57:$J144))</f>
        <v>0</v>
      </c>
      <c r="K144">
        <f t="shared" si="10"/>
        <v>13</v>
      </c>
      <c r="L144" t="str">
        <f t="shared" si="11"/>
        <v/>
      </c>
    </row>
    <row r="145" spans="6:12" x14ac:dyDescent="0.25">
      <c r="F145">
        <v>89</v>
      </c>
      <c r="G145">
        <f>INDEX(PORTFOLIO!$B$17:$B$215,$F145)</f>
        <v>0</v>
      </c>
      <c r="H145" t="str">
        <f t="shared" si="9"/>
        <v/>
      </c>
      <c r="I145" s="4">
        <f>IF((G145&lt;&gt;"total")*(G145&lt;&gt;0),INDEX(PORTFOLIO!$H$17:$H$215,$F145),0)</f>
        <v>0</v>
      </c>
      <c r="J145" s="5">
        <f>LARGE($I$57:$I$156,ROWS($J$57:$J145))</f>
        <v>0</v>
      </c>
      <c r="K145">
        <f t="shared" si="10"/>
        <v>13</v>
      </c>
      <c r="L145" t="str">
        <f t="shared" si="11"/>
        <v/>
      </c>
    </row>
    <row r="146" spans="6:12" x14ac:dyDescent="0.25">
      <c r="F146">
        <v>90</v>
      </c>
      <c r="G146">
        <f>INDEX(PORTFOLIO!$B$17:$B$215,$F146)</f>
        <v>0</v>
      </c>
      <c r="H146" t="str">
        <f t="shared" si="9"/>
        <v/>
      </c>
      <c r="I146" s="4">
        <f>IF((G146&lt;&gt;"total")*(G146&lt;&gt;0),INDEX(PORTFOLIO!$H$17:$H$215,$F146),0)</f>
        <v>0</v>
      </c>
      <c r="J146" s="5">
        <f>LARGE($I$57:$I$156,ROWS($J$57:$J146))</f>
        <v>0</v>
      </c>
      <c r="K146">
        <f t="shared" si="10"/>
        <v>13</v>
      </c>
      <c r="L146" t="str">
        <f t="shared" si="11"/>
        <v/>
      </c>
    </row>
    <row r="147" spans="6:12" x14ac:dyDescent="0.25">
      <c r="F147">
        <v>91</v>
      </c>
      <c r="G147">
        <f>INDEX(PORTFOLIO!$B$17:$B$215,$F147)</f>
        <v>0</v>
      </c>
      <c r="H147" t="str">
        <f>REPT(G147,(G147&lt;&gt;"total")*(G147&lt;&gt;0))</f>
        <v/>
      </c>
      <c r="I147" s="4">
        <f>IF((G147&lt;&gt;"total")*(G147&lt;&gt;0),INDEX(PORTFOLIO!$H$17:$H$215,$F147),0)</f>
        <v>0</v>
      </c>
      <c r="J147" s="5">
        <f>LARGE($I$57:$I$156,ROWS($J$57:$J147))</f>
        <v>0</v>
      </c>
      <c r="K147">
        <f t="shared" si="10"/>
        <v>13</v>
      </c>
      <c r="L147" t="str">
        <f t="shared" si="11"/>
        <v/>
      </c>
    </row>
    <row r="148" spans="6:12" x14ac:dyDescent="0.25">
      <c r="F148">
        <v>92</v>
      </c>
      <c r="G148">
        <f>INDEX(PORTFOLIO!$B$17:$B$215,$F148)</f>
        <v>0</v>
      </c>
      <c r="H148" t="str">
        <f t="shared" ref="H148:H156" si="12">REPT(G148,(G148&lt;&gt;"total")*(G148&lt;&gt;0))</f>
        <v/>
      </c>
      <c r="I148" s="4">
        <f>IF((G148&lt;&gt;"total")*(G148&lt;&gt;0),INDEX(PORTFOLIO!$H$17:$H$215,$F148),0)</f>
        <v>0</v>
      </c>
      <c r="J148" s="5">
        <f>LARGE($I$57:$I$156,ROWS($J$57:$J148))</f>
        <v>0</v>
      </c>
      <c r="K148">
        <f t="shared" si="10"/>
        <v>13</v>
      </c>
      <c r="L148" t="str">
        <f t="shared" si="11"/>
        <v/>
      </c>
    </row>
    <row r="149" spans="6:12" x14ac:dyDescent="0.25">
      <c r="F149">
        <v>93</v>
      </c>
      <c r="G149">
        <f>INDEX(PORTFOLIO!$B$17:$B$215,$F149)</f>
        <v>0</v>
      </c>
      <c r="H149" t="str">
        <f t="shared" si="12"/>
        <v/>
      </c>
      <c r="I149" s="4">
        <f>IF((G149&lt;&gt;"total")*(G149&lt;&gt;0),INDEX(PORTFOLIO!$H$17:$H$215,$F149),0)</f>
        <v>0</v>
      </c>
      <c r="J149" s="5">
        <f>LARGE($I$57:$I$156,ROWS($J$57:$J149))</f>
        <v>0</v>
      </c>
      <c r="K149">
        <f t="shared" si="10"/>
        <v>13</v>
      </c>
      <c r="L149" t="str">
        <f t="shared" si="11"/>
        <v/>
      </c>
    </row>
    <row r="150" spans="6:12" x14ac:dyDescent="0.25">
      <c r="F150">
        <v>94</v>
      </c>
      <c r="G150">
        <f>INDEX(PORTFOLIO!$B$17:$B$215,$F150)</f>
        <v>0</v>
      </c>
      <c r="H150" t="str">
        <f t="shared" si="12"/>
        <v/>
      </c>
      <c r="I150" s="4">
        <f>IF((G150&lt;&gt;"total")*(G150&lt;&gt;0),INDEX(PORTFOLIO!$H$17:$H$215,$F150),0)</f>
        <v>0</v>
      </c>
      <c r="J150" s="5">
        <f>LARGE($I$57:$I$156,ROWS($J$57:$J150))</f>
        <v>0</v>
      </c>
      <c r="K150">
        <f t="shared" si="10"/>
        <v>13</v>
      </c>
      <c r="L150" t="str">
        <f t="shared" si="11"/>
        <v/>
      </c>
    </row>
    <row r="151" spans="6:12" x14ac:dyDescent="0.25">
      <c r="F151">
        <v>95</v>
      </c>
      <c r="G151">
        <f>INDEX(PORTFOLIO!$B$17:$B$215,$F151)</f>
        <v>0</v>
      </c>
      <c r="H151" t="str">
        <f t="shared" si="12"/>
        <v/>
      </c>
      <c r="I151" s="4">
        <f>IF((G151&lt;&gt;"total")*(G151&lt;&gt;0),INDEX(PORTFOLIO!$H$17:$H$215,$F151),0)</f>
        <v>0</v>
      </c>
      <c r="J151" s="5">
        <f>LARGE($I$57:$I$156,ROWS($J$57:$J151))</f>
        <v>0</v>
      </c>
      <c r="K151">
        <f t="shared" si="10"/>
        <v>13</v>
      </c>
      <c r="L151" t="str">
        <f t="shared" si="11"/>
        <v/>
      </c>
    </row>
    <row r="152" spans="6:12" x14ac:dyDescent="0.25">
      <c r="F152">
        <v>96</v>
      </c>
      <c r="G152">
        <f>INDEX(PORTFOLIO!$B$17:$B$215,$F152)</f>
        <v>0</v>
      </c>
      <c r="H152" t="str">
        <f t="shared" si="12"/>
        <v/>
      </c>
      <c r="I152" s="4">
        <f>IF((G152&lt;&gt;"total")*(G152&lt;&gt;0),INDEX(PORTFOLIO!$H$17:$H$215,$F152),0)</f>
        <v>0</v>
      </c>
      <c r="J152" s="5">
        <f>LARGE($I$57:$I$156,ROWS($J$57:$J152))</f>
        <v>0</v>
      </c>
      <c r="K152">
        <f t="shared" si="10"/>
        <v>13</v>
      </c>
      <c r="L152" t="str">
        <f t="shared" si="11"/>
        <v/>
      </c>
    </row>
    <row r="153" spans="6:12" x14ac:dyDescent="0.25">
      <c r="F153">
        <v>97</v>
      </c>
      <c r="G153">
        <f>INDEX(PORTFOLIO!$B$17:$B$215,$F153)</f>
        <v>0</v>
      </c>
      <c r="H153" t="str">
        <f t="shared" si="12"/>
        <v/>
      </c>
      <c r="I153" s="4">
        <f>IF((G153&lt;&gt;"total")*(G153&lt;&gt;0),INDEX(PORTFOLIO!$H$17:$H$215,$F153),0)</f>
        <v>0</v>
      </c>
      <c r="J153" s="5">
        <f>LARGE($I$57:$I$156,ROWS($J$57:$J153))</f>
        <v>0</v>
      </c>
      <c r="K153">
        <f t="shared" si="10"/>
        <v>13</v>
      </c>
      <c r="L153" t="str">
        <f t="shared" si="11"/>
        <v/>
      </c>
    </row>
    <row r="154" spans="6:12" x14ac:dyDescent="0.25">
      <c r="F154">
        <v>98</v>
      </c>
      <c r="G154">
        <f>INDEX(PORTFOLIO!$B$17:$B$215,$F154)</f>
        <v>0</v>
      </c>
      <c r="H154" t="str">
        <f t="shared" si="12"/>
        <v/>
      </c>
      <c r="I154" s="4">
        <f>IF((G154&lt;&gt;"total")*(G154&lt;&gt;0),INDEX(PORTFOLIO!$H$17:$H$215,$F154),0)</f>
        <v>0</v>
      </c>
      <c r="J154" s="5">
        <f>LARGE($I$57:$I$156,ROWS($J$57:$J154))</f>
        <v>0</v>
      </c>
      <c r="K154">
        <f t="shared" si="10"/>
        <v>13</v>
      </c>
      <c r="L154" t="str">
        <f t="shared" si="11"/>
        <v/>
      </c>
    </row>
    <row r="155" spans="6:12" x14ac:dyDescent="0.25">
      <c r="F155">
        <v>99</v>
      </c>
      <c r="G155">
        <f>INDEX(PORTFOLIO!$B$17:$B$215,$F155)</f>
        <v>0</v>
      </c>
      <c r="H155" t="str">
        <f t="shared" si="12"/>
        <v/>
      </c>
      <c r="I155" s="4">
        <f>IF((G155&lt;&gt;"total")*(G155&lt;&gt;0),INDEX(PORTFOLIO!$H$17:$H$215,$F155),0)</f>
        <v>0</v>
      </c>
      <c r="J155" s="5">
        <f>LARGE($I$57:$I$156,ROWS($J$57:$J155))</f>
        <v>0</v>
      </c>
      <c r="K155">
        <f t="shared" si="10"/>
        <v>13</v>
      </c>
      <c r="L155" t="str">
        <f t="shared" si="11"/>
        <v/>
      </c>
    </row>
    <row r="156" spans="6:12" x14ac:dyDescent="0.25">
      <c r="F156">
        <v>100</v>
      </c>
      <c r="G156">
        <f>INDEX(PORTFOLIO!$B$17:$B$215,$F156)</f>
        <v>0</v>
      </c>
      <c r="H156" t="str">
        <f t="shared" si="12"/>
        <v/>
      </c>
      <c r="I156" s="4">
        <f>IF((G156&lt;&gt;"total")*(G156&lt;&gt;0),INDEX(PORTFOLIO!$H$17:$H$215,$F156),0)</f>
        <v>0</v>
      </c>
      <c r="J156" s="5">
        <f>LARGE($I$57:$I$156,ROWS($J$57:$J156))</f>
        <v>0</v>
      </c>
      <c r="K156">
        <f t="shared" si="10"/>
        <v>13</v>
      </c>
      <c r="L156" t="str">
        <f t="shared" si="11"/>
        <v/>
      </c>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E09DB58A-8BCC-4AA3-A37C-5CCC3CC7959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PORTFOLIO</vt:lpstr>
      <vt:lpstr>calculations</vt:lpstr>
      <vt:lpstr>PositionsTitle</vt:lpstr>
      <vt:lpstr>PORTFOLIO!Print_Titles</vt:lpstr>
    </vt:vector>
  </TitlesOfParts>
  <LinksUpToDate>false</LinksUpToDate>
  <SharedDoc>false</SharedDoc>
  <HyperlinksChanged>false</HyperlinksChanged>
  <AppVersion>15.0300</AppVersion>
</Properties>
</file>

<file path=docProps/core.xml><?xml version="1.0" encoding="utf-8"?>
<coreProperties xmlns:dc="http://purl.org/dc/elements/1.1/" xmlns:dcterms="http://purl.org/dc/terms/" xmlns:xsi="http://www.w3.org/2001/XMLSchema-instance" xmlns="http://schemas.openxmlformats.org/package/2006/metadata/core-properties">
  <dc:title/>
  <dc:creator/>
  <keywords/>
  <lastModifiedBy/>
  <dcterms:modified xsi:type="dcterms:W3CDTF">2013-03-04T22:41:25.0000000Z</dcterms:modified>
  <version/>
</coreProperties>
</file>

<file path=docProps/custom.xml><?xml version="1.0" encoding="utf-8"?>
<Properties xmlns="http://schemas.openxmlformats.org/officeDocument/2006/custom-properties" xmlns:vt="http://schemas.openxmlformats.org/officeDocument/2006/docPropsVTypes">
  <property xmlns="http://schemas.openxmlformats.org/officeDocument/2006/custom-properties" fmtid="{D5CDD505-2E9C-101B-9397-08002B2CF9AE}" pid="2" name="_TemplateID">
    <vt:lpwstr xmlns:vt="http://schemas.openxmlformats.org/officeDocument/2006/docPropsVTypes">TC038273629991</vt:lpwstr>
  </property>
</Properties>
</file>